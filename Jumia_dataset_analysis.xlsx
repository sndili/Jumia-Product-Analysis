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Sylvia Ndili\Documents\Excel\Week 1\"/>
    </mc:Choice>
  </mc:AlternateContent>
  <xr:revisionPtr revIDLastSave="0" documentId="13_ncr:1_{C1FC15C9-9F84-438D-A5F3-DA92F02E6D11}" xr6:coauthVersionLast="47" xr6:coauthVersionMax="47" xr10:uidLastSave="{00000000-0000-0000-0000-000000000000}"/>
  <bookViews>
    <workbookView xWindow="-120" yWindow="-120" windowWidth="20730" windowHeight="11040" firstSheet="3" activeTab="6" xr2:uid="{D269E5FC-60E4-49C9-B5C7-3007E39085F4}"/>
  </bookViews>
  <sheets>
    <sheet name="Excel_jumia_dataset" sheetId="1" state="hidden" r:id="rId1"/>
    <sheet name="Cleaning " sheetId="2" r:id="rId2"/>
    <sheet name="Product Categories" sheetId="10" r:id="rId3"/>
    <sheet name="Product Performance" sheetId="6" r:id="rId4"/>
    <sheet name="Trend Analysis_Relationships" sheetId="7" r:id="rId5"/>
    <sheet name="Product rating" sheetId="3" r:id="rId6"/>
    <sheet name="Dashboard" sheetId="5" r:id="rId7"/>
  </sheets>
  <definedNames>
    <definedName name="_xlnm._FilterDatabase" localSheetId="1" hidden="1">'Cleaning '!$H$1:$L$105</definedName>
    <definedName name="Slicer_Absolute">#N/A</definedName>
    <definedName name="Slicer_Discount_cat">#N/A</definedName>
    <definedName name="Slicer_Product">#N/A</definedName>
  </definedNames>
  <calcPr calcId="191029" iterateDelta="1E-4"/>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6" i="2" l="1"/>
  <c r="D106" i="2"/>
  <c r="F59" i="2"/>
  <c r="O2" i="2" a="1"/>
  <c r="N43" i="2"/>
  <c r="N51" i="2"/>
  <c r="N31" i="2"/>
  <c r="N20" i="2"/>
  <c r="N46" i="2"/>
  <c r="N57" i="2"/>
  <c r="N13" i="2"/>
  <c r="N15" i="2"/>
  <c r="N16" i="2"/>
  <c r="N38" i="2"/>
  <c r="N54" i="2"/>
  <c r="N36" i="2"/>
  <c r="N25" i="2"/>
  <c r="N34" i="2"/>
  <c r="N9" i="2"/>
  <c r="N10" i="2"/>
  <c r="N14" i="2"/>
  <c r="N21" i="2"/>
  <c r="N55" i="2"/>
  <c r="N41" i="2"/>
  <c r="N79" i="2"/>
  <c r="N26" i="2"/>
  <c r="N44" i="2"/>
  <c r="N28" i="2"/>
  <c r="N56" i="2"/>
  <c r="N39" i="2"/>
  <c r="N42" i="2"/>
  <c r="N49" i="2"/>
  <c r="N76" i="2"/>
  <c r="N32" i="2"/>
  <c r="N37" i="2"/>
  <c r="N33" i="2"/>
  <c r="N50" i="2"/>
  <c r="N52" i="2"/>
  <c r="N6" i="2"/>
  <c r="N8" i="2"/>
  <c r="N53" i="2"/>
  <c r="N12" i="2"/>
  <c r="N83" i="2"/>
  <c r="N65" i="2"/>
  <c r="N60" i="2"/>
  <c r="N99" i="2"/>
  <c r="N61" i="2"/>
  <c r="N88" i="2"/>
  <c r="N66" i="2"/>
  <c r="N84" i="2"/>
  <c r="N62" i="2"/>
  <c r="N100" i="2"/>
  <c r="N91" i="2"/>
  <c r="N98" i="2"/>
  <c r="N81" i="2"/>
  <c r="N71" i="2"/>
  <c r="N89" i="2"/>
  <c r="N27" i="2"/>
  <c r="N35" i="2"/>
  <c r="N40" i="2"/>
  <c r="N58" i="2"/>
  <c r="N45" i="2"/>
  <c r="N47" i="2"/>
  <c r="N23" i="2"/>
  <c r="N29" i="2"/>
  <c r="N18" i="2"/>
  <c r="N48" i="2"/>
  <c r="N19" i="2"/>
  <c r="N24" i="2"/>
  <c r="N17" i="2"/>
  <c r="N22" i="2"/>
  <c r="N30" i="2"/>
  <c r="N74" i="2"/>
  <c r="N77" i="2"/>
  <c r="N96" i="2"/>
  <c r="N67" i="2"/>
  <c r="N5" i="2"/>
  <c r="N3" i="2"/>
  <c r="N85" i="2"/>
  <c r="N101" i="2"/>
  <c r="N4" i="2"/>
  <c r="N92" i="2"/>
  <c r="N68" i="2"/>
  <c r="N94" i="2"/>
  <c r="N93" i="2"/>
  <c r="N78" i="2"/>
  <c r="N63" i="2"/>
  <c r="N72" i="2"/>
  <c r="N73" i="2"/>
  <c r="N64" i="2"/>
  <c r="N95" i="2"/>
  <c r="N102" i="2"/>
  <c r="N69" i="2"/>
  <c r="N97" i="2"/>
  <c r="N70" i="2"/>
  <c r="N80" i="2"/>
  <c r="N7" i="2"/>
  <c r="N82" i="2"/>
  <c r="N105" i="2"/>
  <c r="N90" i="2"/>
  <c r="N86" i="2"/>
  <c r="N87" i="2"/>
  <c r="N103" i="2"/>
  <c r="N104" i="2"/>
  <c r="N59" i="2"/>
  <c r="N2" i="2"/>
  <c r="N75" i="2"/>
  <c r="N11" i="2"/>
  <c r="M31" i="2"/>
  <c r="M20" i="2"/>
  <c r="M46" i="2"/>
  <c r="M57" i="2"/>
  <c r="M13" i="2"/>
  <c r="M15" i="2"/>
  <c r="M16" i="2"/>
  <c r="M38" i="2"/>
  <c r="M54" i="2"/>
  <c r="M36" i="2"/>
  <c r="M25" i="2"/>
  <c r="M34" i="2"/>
  <c r="M9" i="2"/>
  <c r="M10" i="2"/>
  <c r="M14" i="2"/>
  <c r="M21" i="2"/>
  <c r="M55" i="2"/>
  <c r="M41" i="2"/>
  <c r="M79" i="2"/>
  <c r="M26" i="2"/>
  <c r="M44" i="2"/>
  <c r="M28" i="2"/>
  <c r="M56" i="2"/>
  <c r="M39" i="2"/>
  <c r="M49" i="2"/>
  <c r="M76" i="2"/>
  <c r="M32" i="2"/>
  <c r="M37" i="2"/>
  <c r="M33" i="2"/>
  <c r="M50" i="2"/>
  <c r="M52" i="2"/>
  <c r="M6" i="2"/>
  <c r="M8" i="2"/>
  <c r="M53" i="2"/>
  <c r="M12" i="2"/>
  <c r="M83" i="2"/>
  <c r="M65" i="2"/>
  <c r="M60" i="2"/>
  <c r="M99" i="2"/>
  <c r="M61" i="2"/>
  <c r="M88" i="2"/>
  <c r="M66" i="2"/>
  <c r="M84" i="2"/>
  <c r="M62" i="2"/>
  <c r="M100" i="2"/>
  <c r="M91" i="2"/>
  <c r="M98" i="2"/>
  <c r="M81" i="2"/>
  <c r="M71" i="2"/>
  <c r="M89" i="2"/>
  <c r="M27" i="2"/>
  <c r="M35" i="2"/>
  <c r="M40" i="2"/>
  <c r="M58" i="2"/>
  <c r="M45" i="2"/>
  <c r="M47" i="2"/>
  <c r="M23" i="2"/>
  <c r="M29" i="2"/>
  <c r="M18" i="2"/>
  <c r="M48" i="2"/>
  <c r="M19" i="2"/>
  <c r="M24" i="2"/>
  <c r="M17" i="2"/>
  <c r="M22" i="2"/>
  <c r="M30" i="2"/>
  <c r="M74" i="2"/>
  <c r="M77" i="2"/>
  <c r="M96" i="2"/>
  <c r="M67" i="2"/>
  <c r="M5" i="2"/>
  <c r="M3" i="2"/>
  <c r="M85" i="2"/>
  <c r="M101" i="2"/>
  <c r="M4" i="2"/>
  <c r="M92" i="2"/>
  <c r="M68" i="2"/>
  <c r="M94" i="2"/>
  <c r="M93" i="2"/>
  <c r="M78" i="2"/>
  <c r="M63" i="2"/>
  <c r="M72" i="2"/>
  <c r="M73" i="2"/>
  <c r="M64" i="2"/>
  <c r="M95" i="2"/>
  <c r="M102" i="2"/>
  <c r="M69" i="2"/>
  <c r="M97" i="2"/>
  <c r="M70" i="2"/>
  <c r="M80" i="2"/>
  <c r="M82" i="2"/>
  <c r="M105" i="2"/>
  <c r="M90" i="2"/>
  <c r="M86" i="2"/>
  <c r="M87" i="2"/>
  <c r="M103" i="2"/>
  <c r="M104" i="2"/>
  <c r="M59" i="2"/>
  <c r="M2" i="2"/>
  <c r="M75" i="2"/>
  <c r="M11" i="2"/>
  <c r="L55" i="2"/>
  <c r="L10" i="2"/>
  <c r="L25" i="2"/>
  <c r="L16" i="2"/>
  <c r="L57" i="2"/>
  <c r="L31" i="2"/>
  <c r="L11" i="2"/>
  <c r="K11" i="2"/>
  <c r="K43" i="2"/>
  <c r="K51" i="2"/>
  <c r="K31" i="2"/>
  <c r="K20" i="2"/>
  <c r="K46" i="2"/>
  <c r="K57" i="2"/>
  <c r="K13" i="2"/>
  <c r="K15" i="2"/>
  <c r="K16" i="2"/>
  <c r="K38" i="2"/>
  <c r="K54" i="2"/>
  <c r="K36" i="2"/>
  <c r="K25" i="2"/>
  <c r="K34" i="2"/>
  <c r="K9" i="2"/>
  <c r="K10" i="2"/>
  <c r="K14" i="2"/>
  <c r="K21" i="2"/>
  <c r="K55" i="2"/>
  <c r="K41" i="2"/>
  <c r="K79" i="2"/>
  <c r="K26" i="2"/>
  <c r="K44" i="2"/>
  <c r="K28" i="2"/>
  <c r="K56" i="2"/>
  <c r="K39" i="2"/>
  <c r="K42" i="2"/>
  <c r="K49" i="2"/>
  <c r="K76" i="2"/>
  <c r="K32" i="2"/>
  <c r="K37" i="2"/>
  <c r="K33" i="2"/>
  <c r="K50" i="2"/>
  <c r="K52" i="2"/>
  <c r="K6" i="2"/>
  <c r="K8" i="2"/>
  <c r="K53" i="2"/>
  <c r="K12" i="2"/>
  <c r="K83" i="2"/>
  <c r="K65" i="2"/>
  <c r="K60" i="2"/>
  <c r="K99" i="2"/>
  <c r="K61" i="2"/>
  <c r="K88" i="2"/>
  <c r="K66" i="2"/>
  <c r="K84" i="2"/>
  <c r="K62" i="2"/>
  <c r="K100" i="2"/>
  <c r="K91" i="2"/>
  <c r="K98" i="2"/>
  <c r="K81" i="2"/>
  <c r="K71" i="2"/>
  <c r="K89" i="2"/>
  <c r="K27" i="2"/>
  <c r="K35" i="2"/>
  <c r="K40" i="2"/>
  <c r="K58" i="2"/>
  <c r="K45" i="2"/>
  <c r="K47" i="2"/>
  <c r="K23" i="2"/>
  <c r="K29" i="2"/>
  <c r="K18" i="2"/>
  <c r="K48" i="2"/>
  <c r="K19" i="2"/>
  <c r="K24" i="2"/>
  <c r="K17" i="2"/>
  <c r="K22" i="2"/>
  <c r="K30" i="2"/>
  <c r="K74" i="2"/>
  <c r="K77" i="2"/>
  <c r="K96" i="2"/>
  <c r="K67" i="2"/>
  <c r="K5" i="2"/>
  <c r="K3" i="2"/>
  <c r="K85" i="2"/>
  <c r="K101" i="2"/>
  <c r="K4" i="2"/>
  <c r="K92" i="2"/>
  <c r="K68" i="2"/>
  <c r="K94" i="2"/>
  <c r="K93" i="2"/>
  <c r="K78" i="2"/>
  <c r="K63" i="2"/>
  <c r="K72" i="2"/>
  <c r="K73" i="2"/>
  <c r="K64" i="2"/>
  <c r="K95" i="2"/>
  <c r="K102" i="2"/>
  <c r="K69" i="2"/>
  <c r="K97" i="2"/>
  <c r="K70" i="2"/>
  <c r="K80" i="2"/>
  <c r="K7" i="2"/>
  <c r="K82" i="2"/>
  <c r="K105" i="2"/>
  <c r="K90" i="2"/>
  <c r="K86" i="2"/>
  <c r="K87" i="2"/>
  <c r="K103" i="2"/>
  <c r="K104" i="2"/>
  <c r="K59" i="2"/>
  <c r="K2" i="2"/>
  <c r="K75" i="2"/>
  <c r="J11" i="2"/>
  <c r="J43" i="2"/>
  <c r="J51" i="2"/>
  <c r="J31" i="2"/>
  <c r="J20" i="2"/>
  <c r="J46" i="2"/>
  <c r="J57" i="2"/>
  <c r="J13" i="2"/>
  <c r="J15" i="2"/>
  <c r="J16" i="2"/>
  <c r="J38" i="2"/>
  <c r="J54" i="2"/>
  <c r="J36" i="2"/>
  <c r="J25" i="2"/>
  <c r="J34" i="2"/>
  <c r="J9" i="2"/>
  <c r="J10" i="2"/>
  <c r="J14" i="2"/>
  <c r="J21" i="2"/>
  <c r="J55" i="2"/>
  <c r="J41" i="2"/>
  <c r="J79" i="2"/>
  <c r="J26" i="2"/>
  <c r="J44" i="2"/>
  <c r="J28" i="2"/>
  <c r="J56" i="2"/>
  <c r="J39" i="2"/>
  <c r="J42" i="2"/>
  <c r="J49" i="2"/>
  <c r="J76" i="2"/>
  <c r="J32" i="2"/>
  <c r="J37" i="2"/>
  <c r="J33" i="2"/>
  <c r="J50" i="2"/>
  <c r="J52" i="2"/>
  <c r="J6" i="2"/>
  <c r="J8" i="2"/>
  <c r="J53" i="2"/>
  <c r="J12" i="2"/>
  <c r="J83" i="2"/>
  <c r="J65" i="2"/>
  <c r="J60" i="2"/>
  <c r="J99" i="2"/>
  <c r="J61" i="2"/>
  <c r="J88" i="2"/>
  <c r="J66" i="2"/>
  <c r="J84" i="2"/>
  <c r="J62" i="2"/>
  <c r="J100" i="2"/>
  <c r="J91" i="2"/>
  <c r="J98" i="2"/>
  <c r="J81" i="2"/>
  <c r="J71" i="2"/>
  <c r="J89" i="2"/>
  <c r="J27" i="2"/>
  <c r="J35" i="2"/>
  <c r="J40" i="2"/>
  <c r="J58" i="2"/>
  <c r="J45" i="2"/>
  <c r="J47" i="2"/>
  <c r="J23" i="2"/>
  <c r="J29" i="2"/>
  <c r="J18" i="2"/>
  <c r="J48" i="2"/>
  <c r="J19" i="2"/>
  <c r="J24" i="2"/>
  <c r="J17" i="2"/>
  <c r="J22" i="2"/>
  <c r="J30" i="2"/>
  <c r="J74" i="2"/>
  <c r="J77" i="2"/>
  <c r="J96" i="2"/>
  <c r="J67" i="2"/>
  <c r="J5" i="2"/>
  <c r="J3" i="2"/>
  <c r="J85" i="2"/>
  <c r="J101" i="2"/>
  <c r="J4" i="2"/>
  <c r="J92" i="2"/>
  <c r="J68" i="2"/>
  <c r="J94" i="2"/>
  <c r="J93" i="2"/>
  <c r="J78" i="2"/>
  <c r="J63" i="2"/>
  <c r="J72" i="2"/>
  <c r="J73" i="2"/>
  <c r="J64" i="2"/>
  <c r="J95" i="2"/>
  <c r="J102" i="2"/>
  <c r="J69" i="2"/>
  <c r="J97" i="2"/>
  <c r="J70" i="2"/>
  <c r="J80" i="2"/>
  <c r="J7" i="2"/>
  <c r="J82" i="2"/>
  <c r="J105" i="2"/>
  <c r="J90" i="2"/>
  <c r="J86" i="2"/>
  <c r="J87" i="2"/>
  <c r="J103" i="2"/>
  <c r="J104" i="2"/>
  <c r="J2" i="2"/>
  <c r="J75" i="2"/>
  <c r="I43" i="2"/>
  <c r="I51" i="2"/>
  <c r="I31" i="2"/>
  <c r="I20" i="2"/>
  <c r="I46" i="2"/>
  <c r="I57" i="2"/>
  <c r="I13" i="2"/>
  <c r="I15" i="2"/>
  <c r="I16" i="2"/>
  <c r="I38" i="2"/>
  <c r="I54" i="2"/>
  <c r="I36" i="2"/>
  <c r="I25" i="2"/>
  <c r="I34" i="2"/>
  <c r="I9" i="2"/>
  <c r="I10" i="2"/>
  <c r="I14" i="2"/>
  <c r="I21" i="2"/>
  <c r="I55" i="2"/>
  <c r="I41" i="2"/>
  <c r="I79" i="2"/>
  <c r="I26" i="2"/>
  <c r="I44" i="2"/>
  <c r="I28" i="2"/>
  <c r="I56" i="2"/>
  <c r="I39" i="2"/>
  <c r="I42" i="2"/>
  <c r="I49" i="2"/>
  <c r="I76" i="2"/>
  <c r="I32" i="2"/>
  <c r="I37" i="2"/>
  <c r="I33" i="2"/>
  <c r="I50" i="2"/>
  <c r="I52" i="2"/>
  <c r="I6" i="2"/>
  <c r="I8" i="2"/>
  <c r="I53" i="2"/>
  <c r="I83" i="2"/>
  <c r="I65" i="2"/>
  <c r="I60" i="2"/>
  <c r="I99" i="2"/>
  <c r="I61" i="2"/>
  <c r="I88" i="2"/>
  <c r="I66" i="2"/>
  <c r="I84" i="2"/>
  <c r="I62" i="2"/>
  <c r="I100" i="2"/>
  <c r="I91" i="2"/>
  <c r="I98" i="2"/>
  <c r="I81" i="2"/>
  <c r="I71" i="2"/>
  <c r="I89" i="2"/>
  <c r="I27" i="2"/>
  <c r="I35" i="2"/>
  <c r="I40" i="2"/>
  <c r="I58" i="2"/>
  <c r="I45" i="2"/>
  <c r="I47" i="2"/>
  <c r="I23" i="2"/>
  <c r="I29" i="2"/>
  <c r="I18" i="2"/>
  <c r="I48" i="2"/>
  <c r="I19" i="2"/>
  <c r="I24" i="2"/>
  <c r="I17" i="2"/>
  <c r="I22" i="2"/>
  <c r="I30" i="2"/>
  <c r="I74" i="2"/>
  <c r="I77" i="2"/>
  <c r="I96" i="2"/>
  <c r="I67" i="2"/>
  <c r="I5" i="2"/>
  <c r="I3" i="2"/>
  <c r="I85" i="2"/>
  <c r="I101" i="2"/>
  <c r="I4" i="2"/>
  <c r="I92" i="2"/>
  <c r="I68" i="2"/>
  <c r="I94" i="2"/>
  <c r="I93" i="2"/>
  <c r="I78" i="2"/>
  <c r="I63" i="2"/>
  <c r="I72" i="2"/>
  <c r="I73" i="2"/>
  <c r="I64" i="2"/>
  <c r="I95" i="2"/>
  <c r="I102" i="2"/>
  <c r="I69" i="2"/>
  <c r="I97" i="2"/>
  <c r="I70" i="2"/>
  <c r="I80" i="2"/>
  <c r="I7" i="2"/>
  <c r="I82" i="2"/>
  <c r="I105" i="2"/>
  <c r="I90" i="2"/>
  <c r="I86" i="2"/>
  <c r="I87" i="2"/>
  <c r="I103" i="2"/>
  <c r="I104" i="2"/>
  <c r="I59" i="2"/>
  <c r="I2" i="2"/>
  <c r="I75" i="2"/>
  <c r="I11" i="2"/>
  <c r="C12" i="2"/>
  <c r="I12" i="2" s="1"/>
  <c r="H99" i="2"/>
  <c r="B12" i="2"/>
  <c r="H60" i="2"/>
  <c r="M43" i="2" l="1"/>
  <c r="M42" i="2"/>
  <c r="M7" i="2"/>
  <c r="M51" i="2"/>
  <c r="J59" i="2"/>
  <c r="O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<sst xmlns="http://schemas.openxmlformats.org/spreadsheetml/2006/main" count="676" uniqueCount="353">
  <si>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</si>
  <si>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</si>
  <si>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</si>
  <si>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</si>
  <si>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</si>
  <si>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</si>
  <si>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</si>
  <si>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</si>
  <si>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</si>
  <si>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</si>
  <si>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</si>
  <si>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</si>
  <si>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</si>
  <si>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</si>
  <si>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</si>
  <si>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</si>
  <si>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</si>
  <si>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</si>
  <si>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</si>
  <si>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</si>
  <si>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</si>
  <si>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</si>
  <si>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</si>
  <si>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</si>
  <si>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</si>
  <si>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</si>
  <si>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</si>
  <si>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</si>
  <si>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</si>
  <si>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</si>
  <si>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</si>
  <si>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</si>
  <si>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</si>
  <si>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</si>
  <si>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</si>
  <si>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</si>
  <si>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</si>
  <si>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</si>
  <si>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</si>
  <si>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</si>
  <si>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</si>
  <si>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</si>
  <si>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</si>
  <si>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</si>
  <si>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</si>
  <si>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</si>
  <si>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</si>
  <si>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</si>
  <si>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</si>
  <si>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</si>
  <si>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</si>
  <si>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</si>
  <si>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</si>
  <si>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</si>
  <si>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</si>
  <si>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</si>
  <si>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</si>
  <si>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</si>
  <si>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</si>
  <si>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</si>
  <si>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</si>
  <si>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</si>
  <si>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</si>
  <si>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</si>
  <si>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</si>
  <si>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</si>
  <si>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</si>
  <si>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</si>
  <si>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</si>
  <si>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</si>
  <si>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</si>
  <si>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</si>
  <si>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</si>
  <si>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</si>
  <si>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</si>
  <si>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</si>
  <si>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</si>
  <si>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</si>
  <si>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</si>
  <si>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</si>
  <si>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</si>
  <si>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</si>
  <si>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</si>
  <si>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</si>
  <si>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</si>
  <si>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</si>
  <si>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</si>
  <si>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</si>
  <si>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</si>
  <si>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</si>
  <si>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</si>
  <si>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</si>
  <si>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</si>
  <si>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</si>
  <si>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</si>
  <si>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</si>
  <si>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</si>
  <si>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</si>
  <si>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</si>
  <si>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</si>
  <si>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</si>
  <si>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</si>
  <si>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</si>
  <si>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</si>
  <si>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</si>
  <si>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</si>
  <si>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</si>
  <si>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</si>
  <si>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</si>
  <si>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</si>
  <si>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</si>
  <si>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</si>
  <si>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</si>
  <si>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</si>
  <si>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</si>
  <si>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</si>
  <si>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</si>
  <si>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</si>
  <si>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</si>
  <si>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</si>
  <si>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</si>
  <si>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</si>
  <si>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</si>
  <si>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</si>
  <si>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</si>
  <si>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</si>
  <si>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</si>
  <si>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</si>
  <si>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</si>
  <si>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</si>
  <si>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</si>
  <si>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</si>
  <si>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</si>
  <si>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</si>
  <si>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</si>
  <si>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</si>
  <si>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</si>
  <si>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</si>
  <si>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</si>
  <si>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</si>
  <si>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</si>
  <si>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</si>
  <si>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</si>
  <si>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</si>
  <si>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</si>
  <si>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</si>
  <si>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</si>
  <si>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</si>
  <si>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</si>
  <si>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</si>
  <si>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</si>
  <si>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</si>
  <si>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</si>
  <si>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</si>
  <si>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</si>
  <si>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</si>
  <si>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</si>
  <si>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</si>
  <si>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</si>
  <si>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</si>
  <si>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</si>
  <si>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</si>
  <si>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</si>
  <si>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</si>
  <si>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</si>
  <si>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</si>
  <si>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</si>
  <si>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</si>
  <si>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</si>
  <si>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</si>
  <si>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</si>
  <si>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</si>
  <si>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</si>
  <si>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</si>
  <si>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</si>
  <si>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</si>
  <si>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</si>
  <si>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</si>
  <si>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</si>
  <si>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</si>
  <si>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</si>
  <si>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</si>
  <si>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</si>
  <si>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</si>
  <si>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</si>
  <si>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</si>
  <si>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</si>
  <si>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</si>
  <si>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</si>
  <si>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</si>
  <si>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</si>
  <si>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</si>
  <si>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</si>
  <si>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</si>
  <si>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</si>
  <si>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</si>
  <si>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</si>
  <si>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</si>
  <si>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</si>
  <si>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</si>
  <si>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</si>
  <si>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</si>
  <si>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</si>
  <si>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</si>
  <si>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</si>
  <si>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</si>
  <si>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</si>
  <si>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</si>
  <si>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</si>
  <si>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</si>
  <si>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</si>
  <si>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</si>
  <si>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</si>
  <si>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</si>
  <si>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</si>
  <si>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</si>
  <si>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</si>
  <si>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</si>
  <si>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</si>
  <si>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</si>
  <si>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</si>
  <si>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</si>
  <si>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</si>
  <si>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</si>
  <si>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</si>
  <si>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</si>
  <si>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</si>
  <si>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</si>
  <si>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</si>
  <si>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</si>
  <si>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</si>
  <si>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</si>
  <si>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</si>
  <si>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</si>
  <si>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</si>
  <si>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</si>
  <si>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</si>
  <si>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</si>
  <si>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</si>
  <si>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</si>
  <si>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</si>
  <si>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</si>
  <si>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</si>
  <si>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</si>
  <si>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</si>
  <si>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</si>
  <si>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</si>
  <si>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</si>
  <si>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</si>
  <si>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</si>
  <si>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</si>
  <si>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</si>
  <si>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</si>
  <si>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</si>
  <si>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</si>
  <si>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</si>
  <si>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</si>
  <si>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</si>
  <si>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</si>
  <si>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</si>
  <si>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</si>
  <si>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</si>
  <si>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</si>
  <si>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</si>
  <si>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</si>
  <si>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</si>
  <si>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</si>
  <si>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</si>
  <si>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</si>
  <si>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</si>
  <si>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</si>
  <si>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</si>
  <si>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</si>
  <si>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</si>
  <si>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</si>
  <si>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</si>
  <si>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</si>
  <si>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</si>
  <si>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</si>
  <si>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</si>
  <si>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</si>
  <si>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</si>
  <si>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</si>
  <si>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</si>
  <si>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</si>
  <si>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</si>
  <si>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</si>
  <si>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</si>
  <si>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</si>
  <si>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</si>
  <si>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</si>
  <si>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</si>
  <si>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</si>
  <si>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</si>
  <si>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</si>
  <si>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</si>
  <si>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</si>
  <si>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</si>
  <si>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</si>
  <si>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</si>
  <si>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</si>
  <si>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</si>
  <si>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</si>
  <si>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</si>
  <si>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</si>
  <si>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</si>
  <si>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</si>
  <si>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</si>
  <si>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</si>
  <si>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</si>
  <si>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</si>
  <si>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</si>
  <si>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</si>
  <si>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</si>
  <si>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</si>
  <si>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</si>
  <si>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</si>
  <si>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</si>
  <si>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</si>
  <si>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</si>
  <si>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</si>
  <si>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</si>
  <si>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</si>
  <si>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MultiFunctional Storage Rack Multi-layer Booelf</t>
  </si>
  <si>
    <t>Discount cat</t>
  </si>
  <si>
    <t>Rating cat</t>
  </si>
  <si>
    <t>Avg current price</t>
  </si>
  <si>
    <t>Avg old price</t>
  </si>
  <si>
    <t>Avg discount</t>
  </si>
  <si>
    <t>Avg rating</t>
  </si>
  <si>
    <t>Most expensive</t>
  </si>
  <si>
    <t>Least expensive</t>
  </si>
  <si>
    <t>Avg discount %</t>
  </si>
  <si>
    <t>Top 5 highest rated products</t>
  </si>
  <si>
    <t>Lowest 5 rated products</t>
  </si>
  <si>
    <t>Identify the top 10 products with the highest discounts</t>
  </si>
  <si>
    <t>Absolute</t>
  </si>
  <si>
    <t>products with the most reviews</t>
  </si>
  <si>
    <t>Ratings</t>
  </si>
  <si>
    <t>Discount Number</t>
  </si>
  <si>
    <t>Row Labels</t>
  </si>
  <si>
    <t>Grand Total</t>
  </si>
  <si>
    <t>Sum of Ratings</t>
  </si>
  <si>
    <t>Sum of Discount</t>
  </si>
  <si>
    <t>Sum of Absolute</t>
  </si>
  <si>
    <t>Products</t>
  </si>
  <si>
    <t>Average</t>
  </si>
  <si>
    <t>Poor</t>
  </si>
  <si>
    <t>Column Labels</t>
  </si>
  <si>
    <t>Medium Discount</t>
  </si>
  <si>
    <t>High Discount</t>
  </si>
  <si>
    <t>Low Discount</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</si>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</sst>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FFFFFF"/>
      <name val="Inherit"/>
    </font>
    <font>
      <sz val="11"/>
      <color theme="1"/>
      <name val="Calibri"/>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22">
    <xf numFmtId="0" fontId="0" fillId="0" borderId="0" xfId="0"/>
    <xf numFmtId="9" fontId="0" fillId="0" borderId="0" xfId="0" applyNumberFormat="1"/>
    <xf numFmtId="0" fontId="16" fillId="0" borderId="0" xfId="0" applyFont="1"/>
    <xf numFmtId="0" fontId="0" fillId="0" borderId="10" xfId="0" applyBorder="1"/>
    <xf numFmtId="1" fontId="0" fillId="0" borderId="10" xfId="0" applyNumberFormat="1" applyBorder="1"/>
    <xf numFmtId="9" fontId="0" fillId="0" borderId="10" xfId="0" applyNumberFormat="1" applyBorder="1"/>
    <xf numFmtId="0" fontId="18" fillId="0" borderId="10" xfId="0" applyFont="1" applyBorder="1" applyAlignment="1">
      <alignment horizontal="left" vertical="center"/>
    </xf>
    <xf numFmtId="0" fontId="16" fillId="0" borderId="10" xfId="0" applyFont="1" applyBorder="1"/>
    <xf numFmtId="0" fontId="16" fillId="0" borderId="11" xfId="0" applyFont="1" applyBorder="1"/>
    <xf numFmtId="0" fontId="0" fillId="0" borderId="12" xfId="0" applyBorder="1"/>
    <xf numFmtId="1" fontId="0" fillId="0" borderId="12" xfId="0" applyNumberFormat="1" applyBorder="1"/>
    <xf numFmtId="9" fontId="0" fillId="0" borderId="12" xfId="0" applyNumberFormat="1" applyBorder="1"/>
    <xf numFmtId="0" fontId="16" fillId="0" borderId="13" xfId="0" applyFont="1" applyBorder="1"/>
    <xf numFmtId="1" fontId="16" fillId="0" borderId="14" xfId="0" applyNumberFormat="1" applyFont="1" applyBorder="1"/>
    <xf numFmtId="0" fontId="16" fillId="0" borderId="14" xfId="0" applyFont="1" applyBorder="1"/>
    <xf numFmtId="0" fontId="16" fillId="0" borderId="15" xfId="0" applyFont="1" applyBorder="1"/>
    <xf numFmtId="164" fontId="16" fillId="0" borderId="10" xfId="0" applyNumberFormat="1" applyFont="1" applyBorder="1"/>
    <xf numFmtId="9" fontId="16" fillId="0" borderId="10" xfId="0" applyNumberFormat="1" applyFont="1" applyBorder="1"/>
    <xf numFmtId="0" fontId="0" fillId="0" borderId="10" xfId="0" pivotButton="1" applyBorder="1"/>
    <xf numFmtId="0" fontId="0" fillId="0" borderId="10" xfId="0" applyBorder="1" applyAlignment="1">
      <alignment horizontal="left"/>
    </xf>
    <xf numFmtId="0" fontId="0" fillId="33" borderId="0" xfId="0" applyFill="1"/>
    <xf numFmtId="0"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854C52AF-40EF-40D8-A493-19ABF7F3513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[Jumia_dataset_analysis.xlsx]Product Categories!PivotTable25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2"/>
                </a:solidFill>
              </a:rPr>
              <a:t>Product</a:t>
            </a:r>
            <a:r>
              <a:rPr lang="en-GB" b="1" baseline="0">
                <a:solidFill>
                  <a:schemeClr val="accent2"/>
                </a:solidFill>
              </a:rPr>
              <a:t> Category</a:t>
            </a:r>
            <a:endParaRPr lang="en-GB" b="1">
              <a:solidFill>
                <a:schemeClr val="accent2"/>
              </a:solidFill>
            </a:endParaRP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Categories'!$B$4:$B$5</c:f>
              <c:strCache>
                <c:ptCount val="1"/>
                <c:pt idx="0">
                  <c:v>High Discount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Categories'!$A$6:$A$8</c:f>
              <c:strCache>
                <c:ptCount val="2"/>
                <c:pt idx="0">
                  <c:v>Average</c:v>
                </c:pt>
                <c:pt idx="1">
                  <c:v>Poor</c:v>
                </c:pt>
              </c:strCache>
            </c:strRef>
          </c:cat>
          <c:val>
            <c:numRef>
              <c:f>'Product Categories'!$B$6:$B$8</c:f>
              <c:numCache>
                <c:formatCode>General</c:formatCode>
                <c:ptCount val="2"/>
                <c:pt idx="0">
                  <c:v>1</c:v>
                </c:pt>
                <c:pt idx="1">
                  <c:v>23</c:v>
                </c:pt>
              </c:numCache>
            </c:numRef>
          </c:val>
          <c:extLst>
            <c:ext xmlns:c16="http://schemas.microsoft.com/office/drawing/2014/chart" uri="{C3380CC4-5D6E-409C-BE32-E72D297353CC}">
              <c16:uniqueId val="{00000000-7E3B-4738-9B25-BD6EAEC2FE34}"/>
            </c:ext>
          </c:extLst>
        </c:ser>
        <c:ser>
          <c:idx val="1"/>
          <c:order val="1"/>
          <c:tx>
            <c:strRef>
              <c:f>'Product Categories'!$C$4:$C$5</c:f>
              <c:strCache>
                <c:ptCount val="1"/>
                <c:pt idx="0">
                  <c:v>Low 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Categories'!$A$6:$A$8</c:f>
              <c:strCache>
                <c:ptCount val="2"/>
                <c:pt idx="0">
                  <c:v>Average</c:v>
                </c:pt>
                <c:pt idx="1">
                  <c:v>Poor</c:v>
                </c:pt>
              </c:strCache>
            </c:strRef>
          </c:cat>
          <c:val>
            <c:numRef>
              <c:f>'Product Categories'!$C$6:$C$8</c:f>
              <c:numCache>
                <c:formatCode>General</c:formatCode>
                <c:ptCount val="2"/>
                <c:pt idx="1">
                  <c:v>14</c:v>
                </c:pt>
              </c:numCache>
            </c:numRef>
          </c:val>
          <c:extLst>
            <c:ext xmlns:c16="http://schemas.microsoft.com/office/drawing/2014/chart" uri="{C3380CC4-5D6E-409C-BE32-E72D297353CC}">
              <c16:uniqueId val="{00000000-50FB-4D71-AB4D-0592B96FE27D}"/>
            </c:ext>
          </c:extLst>
        </c:ser>
        <c:ser>
          <c:idx val="2"/>
          <c:order val="2"/>
          <c:tx>
            <c:strRef>
              <c:f>'Product Categories'!$D$4:$D$5</c:f>
              <c:strCache>
                <c:ptCount val="1"/>
                <c:pt idx="0">
                  <c:v>Medium Discount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Categories'!$A$6:$A$8</c:f>
              <c:strCache>
                <c:ptCount val="2"/>
                <c:pt idx="0">
                  <c:v>Average</c:v>
                </c:pt>
                <c:pt idx="1">
                  <c:v>Poor</c:v>
                </c:pt>
              </c:strCache>
            </c:strRef>
          </c:cat>
          <c:val>
            <c:numRef>
              <c:f>'Product Categories'!$D$6:$D$8</c:f>
              <c:numCache>
                <c:formatCode>General</c:formatCode>
                <c:ptCount val="2"/>
                <c:pt idx="1">
                  <c:v>9</c:v>
                </c:pt>
              </c:numCache>
            </c:numRef>
          </c:val>
          <c:extLst>
            <c:ext xmlns:c16="http://schemas.microsoft.com/office/drawing/2014/chart" uri="{C3380CC4-5D6E-409C-BE32-E72D297353CC}">
              <c16:uniqueId val="{00000001-50FB-4D71-AB4D-0592B96FE27D}"/>
            </c:ext>
          </c:extLst>
        </c:ser>
        <c:dLbls>
          <c:dLblPos val="outEnd"/>
          <c:showLegendKey val="0"/>
          <c:showVal val="1"/>
          <c:showCatName val="0"/>
          <c:showSerName val="0"/>
          <c:showPercent val="0"/>
          <c:showBubbleSize val="0"/>
        </c:dLbls>
        <c:gapWidth val="219"/>
        <c:overlap val="-27"/>
        <c:axId val="383795248"/>
        <c:axId val="383798128"/>
      </c:barChart>
      <c:catAx>
        <c:axId val="3837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383798128"/>
        <c:crosses val="autoZero"/>
        <c:auto val="1"/>
        <c:lblAlgn val="ctr"/>
        <c:lblOffset val="100"/>
        <c:noMultiLvlLbl val="0"/>
      </c:catAx>
      <c:valAx>
        <c:axId val="38379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8379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[Jumia_dataset_analysis.xlsx]Product Performance!PivotTable2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000"/>
                </a:solidFill>
              </a:rPr>
              <a:t>Product</a:t>
            </a:r>
            <a:r>
              <a:rPr lang="en-US" b="1" baseline="0">
                <a:solidFill>
                  <a:srgbClr val="FFC000"/>
                </a:solidFill>
              </a:rPr>
              <a:t> Performance (Top 10) by Ratings, Discount &amp; Reviews</a:t>
            </a:r>
            <a:endParaRPr lang="en-US"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10532018756535687"/>
          <c:y val="0.20374396018847291"/>
          <c:w val="0.42097200557081099"/>
          <c:h val="0.66395062365650248"/>
        </c:manualLayout>
      </c:layout>
      <c:pieChart>
        <c:varyColors val="1"/>
        <c:ser>
          <c:idx val="0"/>
          <c:order val="0"/>
          <c:tx>
            <c:strRef>
              <c:f>'Product Performance'!$B$3</c:f>
              <c:strCache>
                <c:ptCount val="1"/>
                <c:pt idx="0">
                  <c:v>Sum of Ratings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60-4192-B74F-F6E4EA6997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60-4192-B74F-F6E4EA6997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60-4192-B74F-F6E4EA6997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60-4192-B74F-F6E4EA6997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60-4192-B74F-F6E4EA6997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760-4192-B74F-F6E4EA6997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760-4192-B74F-F6E4EA6997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760-4192-B74F-F6E4EA69976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760-4192-B74F-F6E4EA69976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760-4192-B74F-F6E4EA699761}"/>
              </c:ext>
            </c:extLst>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Performance'!$A$4:$A$51</c:f>
              <c:strCache>
                <c:ptCount val="47"/>
                <c:pt idx="0">
                  <c:v>12V 19500rpm Handheld Electric Angle Grinder Tool - UK - Yellow/Black</c:v>
                </c:pt>
                <c:pt idx="1">
                  <c:v>1PC Refrigerator Food Seal Pocket Fridge Bags</c:v>
                </c:pt>
                <c:pt idx="2">
                  <c:v>2 Pairs Cowhide Split Leather Work Gloves.32â„‰ Or Above Welding Gloves</c:v>
                </c:pt>
                <c:pt idx="3">
                  <c:v>24 Grid Wall-mounted Sundries Organiser Fabric Closet Bag Storage Rack</c:v>
                </c:pt>
                <c:pt idx="4">
                  <c:v>2PCS Ice Silk Square Cushion Cover Pillowcases - 65x65cm</c:v>
                </c:pt>
                <c:pt idx="5">
                  <c:v>2pcs Solar Street Light Flood Light Outdoor</c:v>
                </c:pt>
                <c:pt idx="6">
                  <c:v>2PCS/LOT Solar LED Outdoor Intelligent Light Controlled Wall Lamp</c:v>
                </c:pt>
                <c:pt idx="7">
                  <c:v>3PCS Rotary Scraper Thermomix For Kitchen</c:v>
                </c:pt>
                <c:pt idx="8">
                  <c:v>4 Piece Coloured Stainless Steel Kitchenware Set</c:v>
                </c:pt>
                <c:pt idx="9">
                  <c:v>4M Float Switch Water Level Controller -Water Tank</c:v>
                </c:pt>
                <c:pt idx="10">
                  <c:v>4pcs Bathroom/Kitchen Towel Rack,Roll Paper Holder,Towel Bars,Hook</c:v>
                </c:pt>
                <c:pt idx="11">
                  <c:v>5m Waterproof Spherical LED String Lights Outdoor Ball Chain Lights Party Lighting Decoration Adjustable</c:v>
                </c:pt>
                <c:pt idx="12">
                  <c:v>6 In 1 Bottle Can Opener Multifunctional Easy Opener</c:v>
                </c:pt>
                <c:pt idx="13">
                  <c:v>60W Hot Melt Glue Sprayer - Efficient And Stable Glue Dispensing</c:v>
                </c:pt>
                <c:pt idx="14">
                  <c:v>7PCS Silicone Thumb Knife Finger Protector Vegetable Harvesting Knife</c:v>
                </c:pt>
                <c:pt idx="15">
                  <c:v>8in1 Screwdriver With LED Light</c:v>
                </c:pt>
                <c:pt idx="16">
                  <c:v>9pcs Gas Mask, For Painting, Dust, Formaldehyde Grinding, Polishing</c:v>
                </c:pt>
                <c:pt idx="17">
                  <c:v>Baby Early Education Shape And Color Cognitive Training Toys</c:v>
                </c:pt>
                <c:pt idx="18">
                  <c:v>Black Simple Water Cup Wine Coaster Anti Slip Absorbent</c:v>
                </c:pt>
                <c:pt idx="19">
                  <c:v>Brush &amp; Paintbrush Cleaning Tool Pink</c:v>
                </c:pt>
                <c:pt idx="20">
                  <c:v>Car Phone Charging Stand</c:v>
                </c:pt>
                <c:pt idx="21">
                  <c:v>Cartoon Car Decoration Cute Individuality For Car Home Desk</c:v>
                </c:pt>
                <c:pt idx="22">
                  <c:v>Cartoon Embroidered Mini Towel Bear Cotton Wash Cloth Hand 4pcs</c:v>
                </c:pt>
                <c:pt idx="23">
                  <c:v>Christmas Elk Fence Yard Lawn Decorations Cute For Holidays</c:v>
                </c:pt>
                <c:pt idx="24">
                  <c:v>Christmas Fence Garden Decorations Outdoor For Holiday Home</c:v>
                </c:pt>
                <c:pt idx="25">
                  <c:v>Cushion Silicone Butt Cushion Summer Ice Cushion Honeycomb Gel Cushion</c:v>
                </c:pt>
                <c:pt idx="26">
                  <c:v>Cute Christmas Fence Garden Decorations For Holiday Home</c:v>
                </c:pt>
                <c:pt idx="27">
                  <c:v>LASA Stainless Steel Double Wall Mount Soap Dispenser - 500ml</c:v>
                </c:pt>
                <c:pt idx="28">
                  <c:v>LED Solar Street Light-fake Camera</c:v>
                </c:pt>
                <c:pt idx="29">
                  <c:v>Metal Wall Clock Silver Dial Crystal Jewelry Round Home Decoration Wall Clock</c:v>
                </c:pt>
                <c:pt idx="30">
                  <c:v>Modern Sofa Throw Pillow Cover-45x45cm-Blue&amp;Red</c:v>
                </c:pt>
                <c:pt idx="31">
                  <c:v>Multifunctional Hanging Storage Box Storage Bag (4 Layers)</c:v>
                </c:pt>
                <c:pt idx="32">
                  <c:v>MultiFunctional Storage Rack Multi-layer Booelf</c:v>
                </c:pt>
                <c:pt idx="33">
                  <c:v>Multi-purpose Rice Drainage Basket And Fruit And Vegetable Drainage Sieve</c:v>
                </c:pt>
                <c:pt idx="34">
                  <c:v>Office Chair Lumbar Back Support Spine Posture Correction Pillow Car Cushion</c:v>
                </c:pt>
                <c:pt idx="35">
                  <c:v>Outdoor Portable Water Bottle With Medicine Box - 600ML - Black</c:v>
                </c:pt>
                <c:pt idx="36">
                  <c:v>Pen Grips For Kids Pen Grip Posture Correction Tool For Kids</c:v>
                </c:pt>
                <c:pt idx="37">
                  <c:v>Pilates Cloth Bag Waterproof Durable High Capacity Purple</c:v>
                </c:pt>
                <c:pt idx="38">
                  <c:v>Portable Soap Dispenser Kitchen Detergent Press Box Kitchen Tools</c:v>
                </c:pt>
                <c:pt idx="39">
                  <c:v>Portable Wine Table With Folding Round Table</c:v>
                </c:pt>
                <c:pt idx="40">
                  <c:v>Sewing Machine Needle Threader Stitch Insertion Tool Automatic Quick Sewing</c:v>
                </c:pt>
                <c:pt idx="41">
                  <c:v>Shower Cap Wide Elastic Band Cover Reusable Bashroom Cap</c:v>
                </c:pt>
                <c:pt idx="42">
                  <c:v>Shower Nozzle Cleaning Unclogging Needle Mini Crevice Small Hole Cleaning Brush</c:v>
                </c:pt>
                <c:pt idx="43">
                  <c:v>Thickening Multipurpose Non Stick Easy To Clean Heat Resistant Spoon Pad</c:v>
                </c:pt>
                <c:pt idx="44">
                  <c:v>Wall Clock With Hidden Safe Box</c:v>
                </c:pt>
                <c:pt idx="45">
                  <c:v>Wall Mount Automatic Toothpaste Dispenser Toothbrush Holder Toothpaste Squeezer</c:v>
                </c:pt>
                <c:pt idx="46">
                  <c:v>Wall-Mounted Toothbrush Toothpaste Holder With Multiple Slots</c:v>
                </c:pt>
              </c:strCache>
            </c:strRef>
          </c:cat>
          <c:val>
            <c:numRef>
              <c:f>'Product Performance'!$B$4:$B$51</c:f>
              <c:numCache>
                <c:formatCode>General</c:formatCode>
                <c:ptCount val="47"/>
                <c:pt idx="12">
                  <c:v>3.8894736842105258</c:v>
                </c:pt>
              </c:numCache>
            </c:numRef>
          </c:val>
          <c:extLst>
            <c:ext xmlns:c16="http://schemas.microsoft.com/office/drawing/2014/chart" uri="{C3380CC4-5D6E-409C-BE32-E72D297353CC}">
              <c16:uniqueId val="{00000000-4645-48AF-B618-3703472795E9}"/>
            </c:ext>
          </c:extLst>
        </c:ser>
        <c:ser>
          <c:idx val="1"/>
          <c:order val="1"/>
          <c:tx>
            <c:strRef>
              <c:f>'Product Performance'!$C$3</c:f>
              <c:strCache>
                <c:ptCount val="1"/>
                <c:pt idx="0">
                  <c:v>Sum of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F760-4192-B74F-F6E4EA6997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F760-4192-B74F-F6E4EA6997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F760-4192-B74F-F6E4EA6997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F760-4192-B74F-F6E4EA6997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F760-4192-B74F-F6E4EA6997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F760-4192-B74F-F6E4EA6997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F760-4192-B74F-F6E4EA6997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F760-4192-B74F-F6E4EA69976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F760-4192-B74F-F6E4EA69976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F760-4192-B74F-F6E4EA699761}"/>
              </c:ext>
            </c:extLst>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Performance'!$A$4:$A$51</c:f>
              <c:strCache>
                <c:ptCount val="47"/>
                <c:pt idx="0">
                  <c:v>12V 19500rpm Handheld Electric Angle Grinder Tool - UK - Yellow/Black</c:v>
                </c:pt>
                <c:pt idx="1">
                  <c:v>1PC Refrigerator Food Seal Pocket Fridge Bags</c:v>
                </c:pt>
                <c:pt idx="2">
                  <c:v>2 Pairs Cowhide Split Leather Work Gloves.32â„‰ Or Above Welding Gloves</c:v>
                </c:pt>
                <c:pt idx="3">
                  <c:v>24 Grid Wall-mounted Sundries Organiser Fabric Closet Bag Storage Rack</c:v>
                </c:pt>
                <c:pt idx="4">
                  <c:v>2PCS Ice Silk Square Cushion Cover Pillowcases - 65x65cm</c:v>
                </c:pt>
                <c:pt idx="5">
                  <c:v>2pcs Solar Street Light Flood Light Outdoor</c:v>
                </c:pt>
                <c:pt idx="6">
                  <c:v>2PCS/LOT Solar LED Outdoor Intelligent Light Controlled Wall Lamp</c:v>
                </c:pt>
                <c:pt idx="7">
                  <c:v>3PCS Rotary Scraper Thermomix For Kitchen</c:v>
                </c:pt>
                <c:pt idx="8">
                  <c:v>4 Piece Coloured Stainless Steel Kitchenware Set</c:v>
                </c:pt>
                <c:pt idx="9">
                  <c:v>4M Float Switch Water Level Controller -Water Tank</c:v>
                </c:pt>
                <c:pt idx="10">
                  <c:v>4pcs Bathroom/Kitchen Towel Rack,Roll Paper Holder,Towel Bars,Hook</c:v>
                </c:pt>
                <c:pt idx="11">
                  <c:v>5m Waterproof Spherical LED String Lights Outdoor Ball Chain Lights Party Lighting Decoration Adjustable</c:v>
                </c:pt>
                <c:pt idx="12">
                  <c:v>6 In 1 Bottle Can Opener Multifunctional Easy Opener</c:v>
                </c:pt>
                <c:pt idx="13">
                  <c:v>60W Hot Melt Glue Sprayer - Efficient And Stable Glue Dispensing</c:v>
                </c:pt>
                <c:pt idx="14">
                  <c:v>7PCS Silicone Thumb Knife Finger Protector Vegetable Harvesting Knife</c:v>
                </c:pt>
                <c:pt idx="15">
                  <c:v>8in1 Screwdriver With LED Light</c:v>
                </c:pt>
                <c:pt idx="16">
                  <c:v>9pcs Gas Mask, For Painting, Dust, Formaldehyde Grinding, Polishing</c:v>
                </c:pt>
                <c:pt idx="17">
                  <c:v>Baby Early Education Shape And Color Cognitive Training Toys</c:v>
                </c:pt>
                <c:pt idx="18">
                  <c:v>Black Simple Water Cup Wine Coaster Anti Slip Absorbent</c:v>
                </c:pt>
                <c:pt idx="19">
                  <c:v>Brush &amp; Paintbrush Cleaning Tool Pink</c:v>
                </c:pt>
                <c:pt idx="20">
                  <c:v>Car Phone Charging Stand</c:v>
                </c:pt>
                <c:pt idx="21">
                  <c:v>Cartoon Car Decoration Cute Individuality For Car Home Desk</c:v>
                </c:pt>
                <c:pt idx="22">
                  <c:v>Cartoon Embroidered Mini Towel Bear Cotton Wash Cloth Hand 4pcs</c:v>
                </c:pt>
                <c:pt idx="23">
                  <c:v>Christmas Elk Fence Yard Lawn Decorations Cute For Holidays</c:v>
                </c:pt>
                <c:pt idx="24">
                  <c:v>Christmas Fence Garden Decorations Outdoor For Holiday Home</c:v>
                </c:pt>
                <c:pt idx="25">
                  <c:v>Cushion Silicone Butt Cushion Summer Ice Cushion Honeycomb Gel Cushion</c:v>
                </c:pt>
                <c:pt idx="26">
                  <c:v>Cute Christmas Fence Garden Decorations For Holiday Home</c:v>
                </c:pt>
                <c:pt idx="27">
                  <c:v>LASA Stainless Steel Double Wall Mount Soap Dispenser - 500ml</c:v>
                </c:pt>
                <c:pt idx="28">
                  <c:v>LED Solar Street Light-fake Camera</c:v>
                </c:pt>
                <c:pt idx="29">
                  <c:v>Metal Wall Clock Silver Dial Crystal Jewelry Round Home Decoration Wall Clock</c:v>
                </c:pt>
                <c:pt idx="30">
                  <c:v>Modern Sofa Throw Pillow Cover-45x45cm-Blue&amp;Red</c:v>
                </c:pt>
                <c:pt idx="31">
                  <c:v>Multifunctional Hanging Storage Box Storage Bag (4 Layers)</c:v>
                </c:pt>
                <c:pt idx="32">
                  <c:v>MultiFunctional Storage Rack Multi-layer Booelf</c:v>
                </c:pt>
                <c:pt idx="33">
                  <c:v>Multi-purpose Rice Drainage Basket And Fruit And Vegetable Drainage Sieve</c:v>
                </c:pt>
                <c:pt idx="34">
                  <c:v>Office Chair Lumbar Back Support Spine Posture Correction Pillow Car Cushion</c:v>
                </c:pt>
                <c:pt idx="35">
                  <c:v>Outdoor Portable Water Bottle With Medicine Box - 600ML - Black</c:v>
                </c:pt>
                <c:pt idx="36">
                  <c:v>Pen Grips For Kids Pen Grip Posture Correction Tool For Kids</c:v>
                </c:pt>
                <c:pt idx="37">
                  <c:v>Pilates Cloth Bag Waterproof Durable High Capacity Purple</c:v>
                </c:pt>
                <c:pt idx="38">
                  <c:v>Portable Soap Dispenser Kitchen Detergent Press Box Kitchen Tools</c:v>
                </c:pt>
                <c:pt idx="39">
                  <c:v>Portable Wine Table With Folding Round Table</c:v>
                </c:pt>
                <c:pt idx="40">
                  <c:v>Sewing Machine Needle Threader Stitch Insertion Tool Automatic Quick Sewing</c:v>
                </c:pt>
                <c:pt idx="41">
                  <c:v>Shower Cap Wide Elastic Band Cover Reusable Bashroom Cap</c:v>
                </c:pt>
                <c:pt idx="42">
                  <c:v>Shower Nozzle Cleaning Unclogging Needle Mini Crevice Small Hole Cleaning Brush</c:v>
                </c:pt>
                <c:pt idx="43">
                  <c:v>Thickening Multipurpose Non Stick Easy To Clean Heat Resistant Spoon Pad</c:v>
                </c:pt>
                <c:pt idx="44">
                  <c:v>Wall Clock With Hidden Safe Box</c:v>
                </c:pt>
                <c:pt idx="45">
                  <c:v>Wall Mount Automatic Toothpaste Dispenser Toothbrush Holder Toothpaste Squeezer</c:v>
                </c:pt>
                <c:pt idx="46">
                  <c:v>Wall-Mounted Toothbrush Toothpaste Holder With Multiple Slots</c:v>
                </c:pt>
              </c:strCache>
            </c:strRef>
          </c:cat>
          <c:val>
            <c:numRef>
              <c:f>'Product Performance'!$C$4:$C$51</c:f>
              <c:numCache>
                <c:formatCode>General</c:formatCode>
                <c:ptCount val="47"/>
                <c:pt idx="0">
                  <c:v>0.27</c:v>
                </c:pt>
                <c:pt idx="1">
                  <c:v>0.24</c:v>
                </c:pt>
                <c:pt idx="2">
                  <c:v>0.02</c:v>
                </c:pt>
                <c:pt idx="3">
                  <c:v>0.01</c:v>
                </c:pt>
                <c:pt idx="4">
                  <c:v>0.5</c:v>
                </c:pt>
                <c:pt idx="5">
                  <c:v>0.38</c:v>
                </c:pt>
                <c:pt idx="6">
                  <c:v>0.47</c:v>
                </c:pt>
                <c:pt idx="7">
                  <c:v>0.43</c:v>
                </c:pt>
                <c:pt idx="8">
                  <c:v>0.49</c:v>
                </c:pt>
                <c:pt idx="9">
                  <c:v>0.49</c:v>
                </c:pt>
                <c:pt idx="10">
                  <c:v>0.42</c:v>
                </c:pt>
                <c:pt idx="11">
                  <c:v>0.36</c:v>
                </c:pt>
                <c:pt idx="12">
                  <c:v>0.64</c:v>
                </c:pt>
                <c:pt idx="13">
                  <c:v>0.33</c:v>
                </c:pt>
                <c:pt idx="14">
                  <c:v>0.49</c:v>
                </c:pt>
                <c:pt idx="15">
                  <c:v>0.42</c:v>
                </c:pt>
                <c:pt idx="16">
                  <c:v>0.41</c:v>
                </c:pt>
                <c:pt idx="17">
                  <c:v>0.49</c:v>
                </c:pt>
                <c:pt idx="18">
                  <c:v>0.47</c:v>
                </c:pt>
                <c:pt idx="19">
                  <c:v>0.5</c:v>
                </c:pt>
                <c:pt idx="20">
                  <c:v>0.49</c:v>
                </c:pt>
                <c:pt idx="21">
                  <c:v>0.49</c:v>
                </c:pt>
                <c:pt idx="22">
                  <c:v>0.34</c:v>
                </c:pt>
                <c:pt idx="23">
                  <c:v>0.5</c:v>
                </c:pt>
                <c:pt idx="24">
                  <c:v>0.48</c:v>
                </c:pt>
                <c:pt idx="25">
                  <c:v>0.04</c:v>
                </c:pt>
                <c:pt idx="26">
                  <c:v>0.41</c:v>
                </c:pt>
                <c:pt idx="27">
                  <c:v>0.38</c:v>
                </c:pt>
                <c:pt idx="28">
                  <c:v>0.34</c:v>
                </c:pt>
                <c:pt idx="29">
                  <c:v>0.04</c:v>
                </c:pt>
                <c:pt idx="30">
                  <c:v>0.5</c:v>
                </c:pt>
                <c:pt idx="31">
                  <c:v>0.43</c:v>
                </c:pt>
                <c:pt idx="32">
                  <c:v>0.46</c:v>
                </c:pt>
                <c:pt idx="33">
                  <c:v>0.03</c:v>
                </c:pt>
                <c:pt idx="34">
                  <c:v>0.14000000000000001</c:v>
                </c:pt>
                <c:pt idx="35">
                  <c:v>0.11</c:v>
                </c:pt>
                <c:pt idx="36">
                  <c:v>0.02</c:v>
                </c:pt>
                <c:pt idx="37">
                  <c:v>0.22</c:v>
                </c:pt>
                <c:pt idx="38">
                  <c:v>0.02</c:v>
                </c:pt>
                <c:pt idx="39">
                  <c:v>0.48</c:v>
                </c:pt>
                <c:pt idx="40">
                  <c:v>0.48</c:v>
                </c:pt>
                <c:pt idx="41">
                  <c:v>0.02</c:v>
                </c:pt>
                <c:pt idx="42">
                  <c:v>0.02</c:v>
                </c:pt>
                <c:pt idx="43">
                  <c:v>0.02</c:v>
                </c:pt>
                <c:pt idx="44">
                  <c:v>0.5</c:v>
                </c:pt>
                <c:pt idx="45">
                  <c:v>0.08</c:v>
                </c:pt>
                <c:pt idx="46">
                  <c:v>0.14000000000000001</c:v>
                </c:pt>
              </c:numCache>
            </c:numRef>
          </c:val>
          <c:extLst>
            <c:ext xmlns:c16="http://schemas.microsoft.com/office/drawing/2014/chart" uri="{C3380CC4-5D6E-409C-BE32-E72D297353CC}">
              <c16:uniqueId val="{00000001-4645-48AF-B618-3703472795E9}"/>
            </c:ext>
          </c:extLst>
        </c:ser>
        <c:ser>
          <c:idx val="2"/>
          <c:order val="2"/>
          <c:tx>
            <c:strRef>
              <c:f>'Product Performance'!$D$3</c:f>
              <c:strCache>
                <c:ptCount val="1"/>
                <c:pt idx="0">
                  <c:v>Sum of Absolute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F760-4192-B74F-F6E4EA6997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F760-4192-B74F-F6E4EA6997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F760-4192-B74F-F6E4EA6997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F760-4192-B74F-F6E4EA6997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F760-4192-B74F-F6E4EA6997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F760-4192-B74F-F6E4EA6997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F760-4192-B74F-F6E4EA6997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F760-4192-B74F-F6E4EA69976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F760-4192-B74F-F6E4EA69976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F760-4192-B74F-F6E4EA699761}"/>
              </c:ext>
            </c:extLst>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Performance'!$A$4:$A$51</c:f>
              <c:strCache>
                <c:ptCount val="47"/>
                <c:pt idx="0">
                  <c:v>12V 19500rpm Handheld Electric Angle Grinder Tool - UK - Yellow/Black</c:v>
                </c:pt>
                <c:pt idx="1">
                  <c:v>1PC Refrigerator Food Seal Pocket Fridge Bags</c:v>
                </c:pt>
                <c:pt idx="2">
                  <c:v>2 Pairs Cowhide Split Leather Work Gloves.32â„‰ Or Above Welding Gloves</c:v>
                </c:pt>
                <c:pt idx="3">
                  <c:v>24 Grid Wall-mounted Sundries Organiser Fabric Closet Bag Storage Rack</c:v>
                </c:pt>
                <c:pt idx="4">
                  <c:v>2PCS Ice Silk Square Cushion Cover Pillowcases - 65x65cm</c:v>
                </c:pt>
                <c:pt idx="5">
                  <c:v>2pcs Solar Street Light Flood Light Outdoor</c:v>
                </c:pt>
                <c:pt idx="6">
                  <c:v>2PCS/LOT Solar LED Outdoor Intelligent Light Controlled Wall Lamp</c:v>
                </c:pt>
                <c:pt idx="7">
                  <c:v>3PCS Rotary Scraper Thermomix For Kitchen</c:v>
                </c:pt>
                <c:pt idx="8">
                  <c:v>4 Piece Coloured Stainless Steel Kitchenware Set</c:v>
                </c:pt>
                <c:pt idx="9">
                  <c:v>4M Float Switch Water Level Controller -Water Tank</c:v>
                </c:pt>
                <c:pt idx="10">
                  <c:v>4pcs Bathroom/Kitchen Towel Rack,Roll Paper Holder,Towel Bars,Hook</c:v>
                </c:pt>
                <c:pt idx="11">
                  <c:v>5m Waterproof Spherical LED String Lights Outdoor Ball Chain Lights Party Lighting Decoration Adjustable</c:v>
                </c:pt>
                <c:pt idx="12">
                  <c:v>6 In 1 Bottle Can Opener Multifunctional Easy Opener</c:v>
                </c:pt>
                <c:pt idx="13">
                  <c:v>60W Hot Melt Glue Sprayer - Efficient And Stable Glue Dispensing</c:v>
                </c:pt>
                <c:pt idx="14">
                  <c:v>7PCS Silicone Thumb Knife Finger Protector Vegetable Harvesting Knife</c:v>
                </c:pt>
                <c:pt idx="15">
                  <c:v>8in1 Screwdriver With LED Light</c:v>
                </c:pt>
                <c:pt idx="16">
                  <c:v>9pcs Gas Mask, For Painting, Dust, Formaldehyde Grinding, Polishing</c:v>
                </c:pt>
                <c:pt idx="17">
                  <c:v>Baby Early Education Shape And Color Cognitive Training Toys</c:v>
                </c:pt>
                <c:pt idx="18">
                  <c:v>Black Simple Water Cup Wine Coaster Anti Slip Absorbent</c:v>
                </c:pt>
                <c:pt idx="19">
                  <c:v>Brush &amp; Paintbrush Cleaning Tool Pink</c:v>
                </c:pt>
                <c:pt idx="20">
                  <c:v>Car Phone Charging Stand</c:v>
                </c:pt>
                <c:pt idx="21">
                  <c:v>Cartoon Car Decoration Cute Individuality For Car Home Desk</c:v>
                </c:pt>
                <c:pt idx="22">
                  <c:v>Cartoon Embroidered Mini Towel Bear Cotton Wash Cloth Hand 4pcs</c:v>
                </c:pt>
                <c:pt idx="23">
                  <c:v>Christmas Elk Fence Yard Lawn Decorations Cute For Holidays</c:v>
                </c:pt>
                <c:pt idx="24">
                  <c:v>Christmas Fence Garden Decorations Outdoor For Holiday Home</c:v>
                </c:pt>
                <c:pt idx="25">
                  <c:v>Cushion Silicone Butt Cushion Summer Ice Cushion Honeycomb Gel Cushion</c:v>
                </c:pt>
                <c:pt idx="26">
                  <c:v>Cute Christmas Fence Garden Decorations For Holiday Home</c:v>
                </c:pt>
                <c:pt idx="27">
                  <c:v>LASA Stainless Steel Double Wall Mount Soap Dispenser - 500ml</c:v>
                </c:pt>
                <c:pt idx="28">
                  <c:v>LED Solar Street Light-fake Camera</c:v>
                </c:pt>
                <c:pt idx="29">
                  <c:v>Metal Wall Clock Silver Dial Crystal Jewelry Round Home Decoration Wall Clock</c:v>
                </c:pt>
                <c:pt idx="30">
                  <c:v>Modern Sofa Throw Pillow Cover-45x45cm-Blue&amp;Red</c:v>
                </c:pt>
                <c:pt idx="31">
                  <c:v>Multifunctional Hanging Storage Box Storage Bag (4 Layers)</c:v>
                </c:pt>
                <c:pt idx="32">
                  <c:v>MultiFunctional Storage Rack Multi-layer Booelf</c:v>
                </c:pt>
                <c:pt idx="33">
                  <c:v>Multi-purpose Rice Drainage Basket And Fruit And Vegetable Drainage Sieve</c:v>
                </c:pt>
                <c:pt idx="34">
                  <c:v>Office Chair Lumbar Back Support Spine Posture Correction Pillow Car Cushion</c:v>
                </c:pt>
                <c:pt idx="35">
                  <c:v>Outdoor Portable Water Bottle With Medicine Box - 600ML - Black</c:v>
                </c:pt>
                <c:pt idx="36">
                  <c:v>Pen Grips For Kids Pen Grip Posture Correction Tool For Kids</c:v>
                </c:pt>
                <c:pt idx="37">
                  <c:v>Pilates Cloth Bag Waterproof Durable High Capacity Purple</c:v>
                </c:pt>
                <c:pt idx="38">
                  <c:v>Portable Soap Dispenser Kitchen Detergent Press Box Kitchen Tools</c:v>
                </c:pt>
                <c:pt idx="39">
                  <c:v>Portable Wine Table With Folding Round Table</c:v>
                </c:pt>
                <c:pt idx="40">
                  <c:v>Sewing Machine Needle Threader Stitch Insertion Tool Automatic Quick Sewing</c:v>
                </c:pt>
                <c:pt idx="41">
                  <c:v>Shower Cap Wide Elastic Band Cover Reusable Bashroom Cap</c:v>
                </c:pt>
                <c:pt idx="42">
                  <c:v>Shower Nozzle Cleaning Unclogging Needle Mini Crevice Small Hole Cleaning Brush</c:v>
                </c:pt>
                <c:pt idx="43">
                  <c:v>Thickening Multipurpose Non Stick Easy To Clean Heat Resistant Spoon Pad</c:v>
                </c:pt>
                <c:pt idx="44">
                  <c:v>Wall Clock With Hidden Safe Box</c:v>
                </c:pt>
                <c:pt idx="45">
                  <c:v>Wall Mount Automatic Toothpaste Dispenser Toothbrush Holder Toothpaste Squeezer</c:v>
                </c:pt>
                <c:pt idx="46">
                  <c:v>Wall-Mounted Toothbrush Toothpaste Holder With Multiple Slots</c:v>
                </c:pt>
              </c:strCache>
            </c:strRef>
          </c:cat>
          <c:val>
            <c:numRef>
              <c:f>'Product Performance'!$D$4:$D$51</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extLst>
            <c:ext xmlns:c16="http://schemas.microsoft.com/office/drawing/2014/chart" uri="{C3380CC4-5D6E-409C-BE32-E72D297353CC}">
              <c16:uniqueId val="{00000002-4645-48AF-B618-3703472795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'Cleaning '!$E$1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'Cleaning '!$D$2:$D$106</c:f>
              <c:numCache>
                <c:formatCode>0%</c:formatCode>
                <c:ptCount val="105"/>
                <c:pt idx="0">
                  <c:v>0.5</c:v>
                </c:pt>
                <c:pt idx="1">
                  <c:v>0.49</c:v>
                </c:pt>
                <c:pt idx="2">
                  <c:v>0.49</c:v>
                </c:pt>
                <c:pt idx="3">
                  <c:v>0.46</c:v>
                </c:pt>
                <c:pt idx="4">
                  <c:v>0.4</c:v>
                </c:pt>
                <c:pt idx="5">
                  <c:v>0.21</c:v>
                </c:pt>
                <c:pt idx="6">
                  <c:v>0.53</c:v>
                </c:pt>
                <c:pt idx="7">
                  <c:v>0.51</c:v>
                </c:pt>
                <c:pt idx="8">
                  <c:v>0.46</c:v>
                </c:pt>
                <c:pt idx="9">
                  <c:v>0.38</c:v>
                </c:pt>
                <c:pt idx="10">
                  <c:v>0.38</c:v>
                </c:pt>
                <c:pt idx="11">
                  <c:v>0.37</c:v>
                </c:pt>
                <c:pt idx="12">
                  <c:v>0.49</c:v>
                </c:pt>
                <c:pt idx="13">
                  <c:v>0.55000000000000004</c:v>
                </c:pt>
                <c:pt idx="14">
                  <c:v>0.45</c:v>
                </c:pt>
                <c:pt idx="15">
                  <c:v>0.43</c:v>
                </c:pt>
                <c:pt idx="16">
                  <c:v>0.39</c:v>
                </c:pt>
                <c:pt idx="17">
                  <c:v>0.28999999999999998</c:v>
                </c:pt>
                <c:pt idx="18">
                  <c:v>0.26</c:v>
                </c:pt>
                <c:pt idx="19">
                  <c:v>0.19</c:v>
                </c:pt>
                <c:pt idx="20">
                  <c:v>0.47</c:v>
                </c:pt>
                <c:pt idx="21">
                  <c:v>0.45</c:v>
                </c:pt>
                <c:pt idx="22">
                  <c:v>0.43</c:v>
                </c:pt>
                <c:pt idx="23">
                  <c:v>0.42</c:v>
                </c:pt>
                <c:pt idx="24">
                  <c:v>0.35</c:v>
                </c:pt>
                <c:pt idx="25">
                  <c:v>0.13</c:v>
                </c:pt>
                <c:pt idx="26">
                  <c:v>0.54</c:v>
                </c:pt>
                <c:pt idx="27">
                  <c:v>0.5</c:v>
                </c:pt>
                <c:pt idx="28">
                  <c:v>0.47</c:v>
                </c:pt>
                <c:pt idx="29">
                  <c:v>0.37</c:v>
                </c:pt>
                <c:pt idx="30">
                  <c:v>0.52</c:v>
                </c:pt>
                <c:pt idx="31">
                  <c:v>0.48</c:v>
                </c:pt>
                <c:pt idx="32">
                  <c:v>0.33</c:v>
                </c:pt>
                <c:pt idx="33">
                  <c:v>0.54</c:v>
                </c:pt>
                <c:pt idx="34">
                  <c:v>0.47</c:v>
                </c:pt>
                <c:pt idx="35">
                  <c:v>0.34</c:v>
                </c:pt>
                <c:pt idx="36">
                  <c:v>0.2</c:v>
                </c:pt>
                <c:pt idx="37">
                  <c:v>0.18</c:v>
                </c:pt>
                <c:pt idx="38">
                  <c:v>0.55000000000000004</c:v>
                </c:pt>
                <c:pt idx="39">
                  <c:v>0.53</c:v>
                </c:pt>
                <c:pt idx="40">
                  <c:v>0.32</c:v>
                </c:pt>
                <c:pt idx="41">
                  <c:v>0.47</c:v>
                </c:pt>
                <c:pt idx="42">
                  <c:v>0.23</c:v>
                </c:pt>
                <c:pt idx="43">
                  <c:v>0.52</c:v>
                </c:pt>
                <c:pt idx="44">
                  <c:v>0.09</c:v>
                </c:pt>
                <c:pt idx="45">
                  <c:v>0.22</c:v>
                </c:pt>
                <c:pt idx="46">
                  <c:v>0.45</c:v>
                </c:pt>
                <c:pt idx="47">
                  <c:v>0.3</c:v>
                </c:pt>
                <c:pt idx="48">
                  <c:v>0.27</c:v>
                </c:pt>
                <c:pt idx="49">
                  <c:v>0.25</c:v>
                </c:pt>
                <c:pt idx="50">
                  <c:v>0.27</c:v>
                </c:pt>
                <c:pt idx="51">
                  <c:v>0.41</c:v>
                </c:pt>
                <c:pt idx="52">
                  <c:v>0.34</c:v>
                </c:pt>
                <c:pt idx="53">
                  <c:v>0.49</c:v>
                </c:pt>
                <c:pt idx="54">
                  <c:v>0.35</c:v>
                </c:pt>
                <c:pt idx="55">
                  <c:v>0.24</c:v>
                </c:pt>
                <c:pt idx="56">
                  <c:v>0.49</c:v>
                </c:pt>
                <c:pt idx="57">
                  <c:v>0.64</c:v>
                </c:pt>
                <c:pt idx="58">
                  <c:v>0.5</c:v>
                </c:pt>
                <c:pt idx="59">
                  <c:v>0.5</c:v>
                </c:pt>
                <c:pt idx="60">
                  <c:v>0.5</c:v>
                </c:pt>
                <c:pt idx="61">
                  <c:v>0.5</c:v>
                </c:pt>
                <c:pt idx="62">
                  <c:v>0.5</c:v>
                </c:pt>
                <c:pt idx="63">
                  <c:v>0.49</c:v>
                </c:pt>
                <c:pt idx="64">
                  <c:v>0.49</c:v>
                </c:pt>
                <c:pt idx="65">
                  <c:v>0.49</c:v>
                </c:pt>
                <c:pt idx="66">
                  <c:v>0.49</c:v>
                </c:pt>
                <c:pt idx="67">
                  <c:v>0.49</c:v>
                </c:pt>
                <c:pt idx="68">
                  <c:v>0.49</c:v>
                </c:pt>
                <c:pt idx="69">
                  <c:v>0.48</c:v>
                </c:pt>
                <c:pt idx="70">
                  <c:v>0.48</c:v>
                </c:pt>
                <c:pt idx="71">
                  <c:v>0.48</c:v>
                </c:pt>
                <c:pt idx="72">
                  <c:v>0.47</c:v>
                </c:pt>
                <c:pt idx="73">
                  <c:v>0.47</c:v>
                </c:pt>
                <c:pt idx="74">
                  <c:v>0.46</c:v>
                </c:pt>
                <c:pt idx="75">
                  <c:v>0.43</c:v>
                </c:pt>
                <c:pt idx="76">
                  <c:v>0.43</c:v>
                </c:pt>
                <c:pt idx="77">
                  <c:v>0.42</c:v>
                </c:pt>
                <c:pt idx="78">
                  <c:v>0.42</c:v>
                </c:pt>
                <c:pt idx="79">
                  <c:v>0.41</c:v>
                </c:pt>
                <c:pt idx="80">
                  <c:v>0.41</c:v>
                </c:pt>
                <c:pt idx="81">
                  <c:v>0.38</c:v>
                </c:pt>
                <c:pt idx="82">
                  <c:v>0.38</c:v>
                </c:pt>
                <c:pt idx="83">
                  <c:v>0.36</c:v>
                </c:pt>
                <c:pt idx="84">
                  <c:v>0.34</c:v>
                </c:pt>
                <c:pt idx="85">
                  <c:v>0.34</c:v>
                </c:pt>
                <c:pt idx="86">
                  <c:v>0.33</c:v>
                </c:pt>
                <c:pt idx="87">
                  <c:v>0.27</c:v>
                </c:pt>
                <c:pt idx="88">
                  <c:v>0.24</c:v>
                </c:pt>
                <c:pt idx="89">
                  <c:v>0.22</c:v>
                </c:pt>
                <c:pt idx="90">
                  <c:v>0.14000000000000001</c:v>
                </c:pt>
                <c:pt idx="91">
                  <c:v>0.14000000000000001</c:v>
                </c:pt>
                <c:pt idx="92">
                  <c:v>0.11</c:v>
                </c:pt>
                <c:pt idx="93">
                  <c:v>0.08</c:v>
                </c:pt>
                <c:pt idx="94">
                  <c:v>0.04</c:v>
                </c:pt>
                <c:pt idx="95">
                  <c:v>0.04</c:v>
                </c:pt>
                <c:pt idx="96">
                  <c:v>0.03</c:v>
                </c:pt>
                <c:pt idx="97">
                  <c:v>0.02</c:v>
                </c:pt>
                <c:pt idx="98">
                  <c:v>0.02</c:v>
                </c:pt>
                <c:pt idx="99">
                  <c:v>0.02</c:v>
                </c:pt>
                <c:pt idx="100">
                  <c:v>0.02</c:v>
                </c:pt>
                <c:pt idx="101">
                  <c:v>0.02</c:v>
                </c:pt>
                <c:pt idx="102">
                  <c:v>0.02</c:v>
                </c:pt>
                <c:pt idx="103">
                  <c:v>0.01</c:v>
                </c:pt>
                <c:pt idx="104">
                  <c:v>0.35788461538461547</c:v>
                </c:pt>
              </c:numCache>
            </c:numRef>
          </c:xVal>
          <c:yVal>
            <c:numRef>
              <c:f>'Cleaning '!$E$2:$E$106</c:f>
              <c:numCache>
                <c:formatCode>General</c:formatCode>
                <c:ptCount val="105"/>
                <c:pt idx="0">
                  <c:v>-1</c:v>
                </c:pt>
                <c:pt idx="1">
                  <c:v>-1</c:v>
                </c:pt>
                <c:pt idx="2">
                  <c:v>-1</c:v>
                </c:pt>
                <c:pt idx="3">
                  <c:v>-1</c:v>
                </c:pt>
                <c:pt idx="4">
                  <c:v>-1</c:v>
                </c:pt>
                <c:pt idx="5">
                  <c:v>-1</c:v>
                </c:pt>
                <c:pt idx="6">
                  <c:v>-2</c:v>
                </c:pt>
                <c:pt idx="7">
                  <c:v>-2</c:v>
                </c:pt>
                <c:pt idx="8">
                  <c:v>-2</c:v>
                </c:pt>
                <c:pt idx="9">
                  <c:v>-2</c:v>
                </c:pt>
                <c:pt idx="10">
                  <c:v>-2</c:v>
                </c:pt>
                <c:pt idx="11">
                  <c:v>-2</c:v>
                </c:pt>
                <c:pt idx="12">
                  <c:v>-3</c:v>
                </c:pt>
                <c:pt idx="13">
                  <c:v>-5</c:v>
                </c:pt>
                <c:pt idx="14">
                  <c:v>-5</c:v>
                </c:pt>
                <c:pt idx="15">
                  <c:v>-5</c:v>
                </c:pt>
                <c:pt idx="16">
                  <c:v>-5</c:v>
                </c:pt>
                <c:pt idx="17">
                  <c:v>-5</c:v>
                </c:pt>
                <c:pt idx="18">
                  <c:v>-5</c:v>
                </c:pt>
                <c:pt idx="19">
                  <c:v>-5</c:v>
                </c:pt>
                <c:pt idx="20">
                  <c:v>-6</c:v>
                </c:pt>
                <c:pt idx="21">
                  <c:v>-6</c:v>
                </c:pt>
                <c:pt idx="22">
                  <c:v>-6</c:v>
                </c:pt>
                <c:pt idx="23">
                  <c:v>-6</c:v>
                </c:pt>
                <c:pt idx="24">
                  <c:v>-6</c:v>
                </c:pt>
                <c:pt idx="25">
                  <c:v>-6</c:v>
                </c:pt>
                <c:pt idx="26">
                  <c:v>-7</c:v>
                </c:pt>
                <c:pt idx="27">
                  <c:v>-7</c:v>
                </c:pt>
                <c:pt idx="28">
                  <c:v>-7</c:v>
                </c:pt>
                <c:pt idx="29">
                  <c:v>-7</c:v>
                </c:pt>
                <c:pt idx="30">
                  <c:v>-9</c:v>
                </c:pt>
                <c:pt idx="31">
                  <c:v>-9</c:v>
                </c:pt>
                <c:pt idx="32">
                  <c:v>-9</c:v>
                </c:pt>
                <c:pt idx="33">
                  <c:v>-10</c:v>
                </c:pt>
                <c:pt idx="34">
                  <c:v>-12</c:v>
                </c:pt>
                <c:pt idx="35">
                  <c:v>-12</c:v>
                </c:pt>
                <c:pt idx="36">
                  <c:v>-12</c:v>
                </c:pt>
                <c:pt idx="37">
                  <c:v>-12</c:v>
                </c:pt>
                <c:pt idx="38">
                  <c:v>-13</c:v>
                </c:pt>
                <c:pt idx="39">
                  <c:v>-13</c:v>
                </c:pt>
                <c:pt idx="40">
                  <c:v>-13</c:v>
                </c:pt>
                <c:pt idx="41">
                  <c:v>-14</c:v>
                </c:pt>
                <c:pt idx="42">
                  <c:v>-14</c:v>
                </c:pt>
                <c:pt idx="43">
                  <c:v>-15</c:v>
                </c:pt>
                <c:pt idx="44">
                  <c:v>-15</c:v>
                </c:pt>
                <c:pt idx="45">
                  <c:v>-16</c:v>
                </c:pt>
                <c:pt idx="46">
                  <c:v>-17</c:v>
                </c:pt>
                <c:pt idx="47">
                  <c:v>-20</c:v>
                </c:pt>
                <c:pt idx="48">
                  <c:v>-20</c:v>
                </c:pt>
                <c:pt idx="49">
                  <c:v>-24</c:v>
                </c:pt>
                <c:pt idx="50">
                  <c:v>-32</c:v>
                </c:pt>
                <c:pt idx="51">
                  <c:v>-36</c:v>
                </c:pt>
                <c:pt idx="52">
                  <c:v>-39</c:v>
                </c:pt>
                <c:pt idx="53">
                  <c:v>-44</c:v>
                </c:pt>
                <c:pt idx="54">
                  <c:v>-49</c:v>
                </c:pt>
                <c:pt idx="55">
                  <c:v>-55</c:v>
                </c:pt>
                <c:pt idx="56">
                  <c:v>-69</c:v>
                </c:pt>
              </c:numCache>
            </c:numRef>
          </c:yVal>
          <c:smooth val="0"/>
          <c:extLst>
            <c:ext xmlns:c16="http://schemas.microsoft.com/office/drawing/2014/chart" uri="{C3380CC4-5D6E-409C-BE32-E72D297353CC}">
              <c16:uniqueId val="{00000000-3FD5-4485-BF6D-A70CB8EAA653}"/>
            </c:ext>
          </c:extLst>
        </c:ser>
        <c:dLbls>
          <c:showLegendKey val="0"/>
          <c:showVal val="0"/>
          <c:showCatName val="0"/>
          <c:showSerName val="0"/>
          <c:showPercent val="0"/>
          <c:showBubbleSize val="0"/>
        </c:dLbls>
        <c:axId val="1069140591"/>
        <c:axId val="1069140111"/>
      </c:scatterChart>
      <c:valAx>
        <c:axId val="10691405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40111"/>
        <c:crosses val="autoZero"/>
        <c:crossBetween val="midCat"/>
      </c:valAx>
      <c:valAx>
        <c:axId val="10691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4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[Jumia_dataset_analysis.xlsx]Product Performance!PivotTable2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FFC000"/>
                </a:solidFill>
              </a:rPr>
              <a:t>Product</a:t>
            </a:r>
            <a:r>
              <a:rPr lang="en-US" sz="1100" b="1" baseline="0">
                <a:solidFill>
                  <a:srgbClr val="FFC000"/>
                </a:solidFill>
              </a:rPr>
              <a:t> Performance (Top 10) by Ratings, Discount &amp; Reviews</a:t>
            </a:r>
            <a:endParaRPr lang="en-US" sz="1100" b="1">
              <a:solidFill>
                <a:srgbClr val="FFC000"/>
              </a:solidFill>
            </a:endParaRPr>
          </a:p>
        </c:rich>
      </c:tx>
      <c:layout>
        <c:manualLayout>
          <c:xMode val="edge"/>
          <c:yMode val="edge"/>
          <c:x val="0.18171701112877583"/>
          <c:y val="0.12081126204507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manualLayout>
          <c:layoutTarget val="inner"/>
          <c:xMode val="edge"/>
          <c:yMode val="edge"/>
          <c:x val="0.10532018756535687"/>
          <c:y val="0.20374396018847291"/>
          <c:w val="0.42097200557081099"/>
          <c:h val="0.66395062365650248"/>
        </c:manualLayout>
      </c:layout>
      <c:pieChart>
        <c:varyColors val="1"/>
        <c:ser>
          <c:idx val="0"/>
          <c:order val="0"/>
          <c:tx>
            <c:strRef>
              <c:f>'Product Performance'!$B$3</c:f>
              <c:strCache>
                <c:ptCount val="1"/>
                <c:pt idx="0">
                  <c:v>Sum of Ratings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68-413B-9889-5CA522DD5D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68-413B-9889-5CA522DD5D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68-413B-9889-5CA522DD5D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68-413B-9889-5CA522DD5D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68-413B-9889-5CA522DD5D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B68-413B-9889-5CA522DD5D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68-413B-9889-5CA522DD5D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B68-413B-9889-5CA522DD5D2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B68-413B-9889-5CA522DD5D2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B68-413B-9889-5CA522DD5D24}"/>
              </c:ext>
            </c:extLst>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Performance'!$A$4:$A$51</c:f>
              <c:strCache>
                <c:ptCount val="47"/>
                <c:pt idx="0">
                  <c:v>12V 19500rpm Handheld Electric Angle Grinder Tool - UK - Yellow/Black</c:v>
                </c:pt>
                <c:pt idx="1">
                  <c:v>1PC Refrigerator Food Seal Pocket Fridge Bags</c:v>
                </c:pt>
                <c:pt idx="2">
                  <c:v>2 Pairs Cowhide Split Leather Work Gloves.32â„‰ Or Above Welding Gloves</c:v>
                </c:pt>
                <c:pt idx="3">
                  <c:v>24 Grid Wall-mounted Sundries Organiser Fabric Closet Bag Storage Rack</c:v>
                </c:pt>
                <c:pt idx="4">
                  <c:v>2PCS Ice Silk Square Cushion Cover Pillowcases - 65x65cm</c:v>
                </c:pt>
                <c:pt idx="5">
                  <c:v>2pcs Solar Street Light Flood Light Outdoor</c:v>
                </c:pt>
                <c:pt idx="6">
                  <c:v>2PCS/LOT Solar LED Outdoor Intelligent Light Controlled Wall Lamp</c:v>
                </c:pt>
                <c:pt idx="7">
                  <c:v>3PCS Rotary Scraper Thermomix For Kitchen</c:v>
                </c:pt>
                <c:pt idx="8">
                  <c:v>4 Piece Coloured Stainless Steel Kitchenware Set</c:v>
                </c:pt>
                <c:pt idx="9">
                  <c:v>4M Float Switch Water Level Controller -Water Tank</c:v>
                </c:pt>
                <c:pt idx="10">
                  <c:v>4pcs Bathroom/Kitchen Towel Rack,Roll Paper Holder,Towel Bars,Hook</c:v>
                </c:pt>
                <c:pt idx="11">
                  <c:v>5m Waterproof Spherical LED String Lights Outdoor Ball Chain Lights Party Lighting Decoration Adjustable</c:v>
                </c:pt>
                <c:pt idx="12">
                  <c:v>6 In 1 Bottle Can Opener Multifunctional Easy Opener</c:v>
                </c:pt>
                <c:pt idx="13">
                  <c:v>60W Hot Melt Glue Sprayer - Efficient And Stable Glue Dispensing</c:v>
                </c:pt>
                <c:pt idx="14">
                  <c:v>7PCS Silicone Thumb Knife Finger Protector Vegetable Harvesting Knife</c:v>
                </c:pt>
                <c:pt idx="15">
                  <c:v>8in1 Screwdriver With LED Light</c:v>
                </c:pt>
                <c:pt idx="16">
                  <c:v>9pcs Gas Mask, For Painting, Dust, Formaldehyde Grinding, Polishing</c:v>
                </c:pt>
                <c:pt idx="17">
                  <c:v>Baby Early Education Shape And Color Cognitive Training Toys</c:v>
                </c:pt>
                <c:pt idx="18">
                  <c:v>Black Simple Water Cup Wine Coaster Anti Slip Absorbent</c:v>
                </c:pt>
                <c:pt idx="19">
                  <c:v>Brush &amp; Paintbrush Cleaning Tool Pink</c:v>
                </c:pt>
                <c:pt idx="20">
                  <c:v>Car Phone Charging Stand</c:v>
                </c:pt>
                <c:pt idx="21">
                  <c:v>Cartoon Car Decoration Cute Individuality For Car Home Desk</c:v>
                </c:pt>
                <c:pt idx="22">
                  <c:v>Cartoon Embroidered Mini Towel Bear Cotton Wash Cloth Hand 4pcs</c:v>
                </c:pt>
                <c:pt idx="23">
                  <c:v>Christmas Elk Fence Yard Lawn Decorations Cute For Holidays</c:v>
                </c:pt>
                <c:pt idx="24">
                  <c:v>Christmas Fence Garden Decorations Outdoor For Holiday Home</c:v>
                </c:pt>
                <c:pt idx="25">
                  <c:v>Cushion Silicone Butt Cushion Summer Ice Cushion Honeycomb Gel Cushion</c:v>
                </c:pt>
                <c:pt idx="26">
                  <c:v>Cute Christmas Fence Garden Decorations For Holiday Home</c:v>
                </c:pt>
                <c:pt idx="27">
                  <c:v>LASA Stainless Steel Double Wall Mount Soap Dispenser - 500ml</c:v>
                </c:pt>
                <c:pt idx="28">
                  <c:v>LED Solar Street Light-fake Camera</c:v>
                </c:pt>
                <c:pt idx="29">
                  <c:v>Metal Wall Clock Silver Dial Crystal Jewelry Round Home Decoration Wall Clock</c:v>
                </c:pt>
                <c:pt idx="30">
                  <c:v>Modern Sofa Throw Pillow Cover-45x45cm-Blue&amp;Red</c:v>
                </c:pt>
                <c:pt idx="31">
                  <c:v>Multifunctional Hanging Storage Box Storage Bag (4 Layers)</c:v>
                </c:pt>
                <c:pt idx="32">
                  <c:v>MultiFunctional Storage Rack Multi-layer Booelf</c:v>
                </c:pt>
                <c:pt idx="33">
                  <c:v>Multi-purpose Rice Drainage Basket And Fruit And Vegetable Drainage Sieve</c:v>
                </c:pt>
                <c:pt idx="34">
                  <c:v>Office Chair Lumbar Back Support Spine Posture Correction Pillow Car Cushion</c:v>
                </c:pt>
                <c:pt idx="35">
                  <c:v>Outdoor Portable Water Bottle With Medicine Box - 600ML - Black</c:v>
                </c:pt>
                <c:pt idx="36">
                  <c:v>Pen Grips For Kids Pen Grip Posture Correction Tool For Kids</c:v>
                </c:pt>
                <c:pt idx="37">
                  <c:v>Pilates Cloth Bag Waterproof Durable High Capacity Purple</c:v>
                </c:pt>
                <c:pt idx="38">
                  <c:v>Portable Soap Dispenser Kitchen Detergent Press Box Kitchen Tools</c:v>
                </c:pt>
                <c:pt idx="39">
                  <c:v>Portable Wine Table With Folding Round Table</c:v>
                </c:pt>
                <c:pt idx="40">
                  <c:v>Sewing Machine Needle Threader Stitch Insertion Tool Automatic Quick Sewing</c:v>
                </c:pt>
                <c:pt idx="41">
                  <c:v>Shower Cap Wide Elastic Band Cover Reusable Bashroom Cap</c:v>
                </c:pt>
                <c:pt idx="42">
                  <c:v>Shower Nozzle Cleaning Unclogging Needle Mini Crevice Small Hole Cleaning Brush</c:v>
                </c:pt>
                <c:pt idx="43">
                  <c:v>Thickening Multipurpose Non Stick Easy To Clean Heat Resistant Spoon Pad</c:v>
                </c:pt>
                <c:pt idx="44">
                  <c:v>Wall Clock With Hidden Safe Box</c:v>
                </c:pt>
                <c:pt idx="45">
                  <c:v>Wall Mount Automatic Toothpaste Dispenser Toothbrush Holder Toothpaste Squeezer</c:v>
                </c:pt>
                <c:pt idx="46">
                  <c:v>Wall-Mounted Toothbrush Toothpaste Holder With Multiple Slots</c:v>
                </c:pt>
              </c:strCache>
            </c:strRef>
          </c:cat>
          <c:val>
            <c:numRef>
              <c:f>'Product Performance'!$B$4:$B$51</c:f>
              <c:numCache>
                <c:formatCode>General</c:formatCode>
                <c:ptCount val="47"/>
                <c:pt idx="12">
                  <c:v>3.8894736842105258</c:v>
                </c:pt>
              </c:numCache>
            </c:numRef>
          </c:val>
          <c:extLst>
            <c:ext xmlns:c16="http://schemas.microsoft.com/office/drawing/2014/chart" uri="{C3380CC4-5D6E-409C-BE32-E72D297353CC}">
              <c16:uniqueId val="{00000014-EB68-413B-9889-5CA522DD5D24}"/>
            </c:ext>
          </c:extLst>
        </c:ser>
        <c:ser>
          <c:idx val="1"/>
          <c:order val="1"/>
          <c:tx>
            <c:strRef>
              <c:f>'Product Performance'!$C$3</c:f>
              <c:strCache>
                <c:ptCount val="1"/>
                <c:pt idx="0">
                  <c:v>Sum of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EB68-413B-9889-5CA522DD5D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EB68-413B-9889-5CA522DD5D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EB68-413B-9889-5CA522DD5D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EB68-413B-9889-5CA522DD5D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EB68-413B-9889-5CA522DD5D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EB68-413B-9889-5CA522DD5D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EB68-413B-9889-5CA522DD5D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EB68-413B-9889-5CA522DD5D2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EB68-413B-9889-5CA522DD5D2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EB68-413B-9889-5CA522DD5D24}"/>
              </c:ext>
            </c:extLst>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Performance'!$A$4:$A$51</c:f>
              <c:strCache>
                <c:ptCount val="47"/>
                <c:pt idx="0">
                  <c:v>12V 19500rpm Handheld Electric Angle Grinder Tool - UK - Yellow/Black</c:v>
                </c:pt>
                <c:pt idx="1">
                  <c:v>1PC Refrigerator Food Seal Pocket Fridge Bags</c:v>
                </c:pt>
                <c:pt idx="2">
                  <c:v>2 Pairs Cowhide Split Leather Work Gloves.32â„‰ Or Above Welding Gloves</c:v>
                </c:pt>
                <c:pt idx="3">
                  <c:v>24 Grid Wall-mounted Sundries Organiser Fabric Closet Bag Storage Rack</c:v>
                </c:pt>
                <c:pt idx="4">
                  <c:v>2PCS Ice Silk Square Cushion Cover Pillowcases - 65x65cm</c:v>
                </c:pt>
                <c:pt idx="5">
                  <c:v>2pcs Solar Street Light Flood Light Outdoor</c:v>
                </c:pt>
                <c:pt idx="6">
                  <c:v>2PCS/LOT Solar LED Outdoor Intelligent Light Controlled Wall Lamp</c:v>
                </c:pt>
                <c:pt idx="7">
                  <c:v>3PCS Rotary Scraper Thermomix For Kitchen</c:v>
                </c:pt>
                <c:pt idx="8">
                  <c:v>4 Piece Coloured Stainless Steel Kitchenware Set</c:v>
                </c:pt>
                <c:pt idx="9">
                  <c:v>4M Float Switch Water Level Controller -Water Tank</c:v>
                </c:pt>
                <c:pt idx="10">
                  <c:v>4pcs Bathroom/Kitchen Towel Rack,Roll Paper Holder,Towel Bars,Hook</c:v>
                </c:pt>
                <c:pt idx="11">
                  <c:v>5m Waterproof Spherical LED String Lights Outdoor Ball Chain Lights Party Lighting Decoration Adjustable</c:v>
                </c:pt>
                <c:pt idx="12">
                  <c:v>6 In 1 Bottle Can Opener Multifunctional Easy Opener</c:v>
                </c:pt>
                <c:pt idx="13">
                  <c:v>60W Hot Melt Glue Sprayer - Efficient And Stable Glue Dispensing</c:v>
                </c:pt>
                <c:pt idx="14">
                  <c:v>7PCS Silicone Thumb Knife Finger Protector Vegetable Harvesting Knife</c:v>
                </c:pt>
                <c:pt idx="15">
                  <c:v>8in1 Screwdriver With LED Light</c:v>
                </c:pt>
                <c:pt idx="16">
                  <c:v>9pcs Gas Mask, For Painting, Dust, Formaldehyde Grinding, Polishing</c:v>
                </c:pt>
                <c:pt idx="17">
                  <c:v>Baby Early Education Shape And Color Cognitive Training Toys</c:v>
                </c:pt>
                <c:pt idx="18">
                  <c:v>Black Simple Water Cup Wine Coaster Anti Slip Absorbent</c:v>
                </c:pt>
                <c:pt idx="19">
                  <c:v>Brush &amp; Paintbrush Cleaning Tool Pink</c:v>
                </c:pt>
                <c:pt idx="20">
                  <c:v>Car Phone Charging Stand</c:v>
                </c:pt>
                <c:pt idx="21">
                  <c:v>Cartoon Car Decoration Cute Individuality For Car Home Desk</c:v>
                </c:pt>
                <c:pt idx="22">
                  <c:v>Cartoon Embroidered Mini Towel Bear Cotton Wash Cloth Hand 4pcs</c:v>
                </c:pt>
                <c:pt idx="23">
                  <c:v>Christmas Elk Fence Yard Lawn Decorations Cute For Holidays</c:v>
                </c:pt>
                <c:pt idx="24">
                  <c:v>Christmas Fence Garden Decorations Outdoor For Holiday Home</c:v>
                </c:pt>
                <c:pt idx="25">
                  <c:v>Cushion Silicone Butt Cushion Summer Ice Cushion Honeycomb Gel Cushion</c:v>
                </c:pt>
                <c:pt idx="26">
                  <c:v>Cute Christmas Fence Garden Decorations For Holiday Home</c:v>
                </c:pt>
                <c:pt idx="27">
                  <c:v>LASA Stainless Steel Double Wall Mount Soap Dispenser - 500ml</c:v>
                </c:pt>
                <c:pt idx="28">
                  <c:v>LED Solar Street Light-fake Camera</c:v>
                </c:pt>
                <c:pt idx="29">
                  <c:v>Metal Wall Clock Silver Dial Crystal Jewelry Round Home Decoration Wall Clock</c:v>
                </c:pt>
                <c:pt idx="30">
                  <c:v>Modern Sofa Throw Pillow Cover-45x45cm-Blue&amp;Red</c:v>
                </c:pt>
                <c:pt idx="31">
                  <c:v>Multifunctional Hanging Storage Box Storage Bag (4 Layers)</c:v>
                </c:pt>
                <c:pt idx="32">
                  <c:v>MultiFunctional Storage Rack Multi-layer Booelf</c:v>
                </c:pt>
                <c:pt idx="33">
                  <c:v>Multi-purpose Rice Drainage Basket And Fruit And Vegetable Drainage Sieve</c:v>
                </c:pt>
                <c:pt idx="34">
                  <c:v>Office Chair Lumbar Back Support Spine Posture Correction Pillow Car Cushion</c:v>
                </c:pt>
                <c:pt idx="35">
                  <c:v>Outdoor Portable Water Bottle With Medicine Box - 600ML - Black</c:v>
                </c:pt>
                <c:pt idx="36">
                  <c:v>Pen Grips For Kids Pen Grip Posture Correction Tool For Kids</c:v>
                </c:pt>
                <c:pt idx="37">
                  <c:v>Pilates Cloth Bag Waterproof Durable High Capacity Purple</c:v>
                </c:pt>
                <c:pt idx="38">
                  <c:v>Portable Soap Dispenser Kitchen Detergent Press Box Kitchen Tools</c:v>
                </c:pt>
                <c:pt idx="39">
                  <c:v>Portable Wine Table With Folding Round Table</c:v>
                </c:pt>
                <c:pt idx="40">
                  <c:v>Sewing Machine Needle Threader Stitch Insertion Tool Automatic Quick Sewing</c:v>
                </c:pt>
                <c:pt idx="41">
                  <c:v>Shower Cap Wide Elastic Band Cover Reusable Bashroom Cap</c:v>
                </c:pt>
                <c:pt idx="42">
                  <c:v>Shower Nozzle Cleaning Unclogging Needle Mini Crevice Small Hole Cleaning Brush</c:v>
                </c:pt>
                <c:pt idx="43">
                  <c:v>Thickening Multipurpose Non Stick Easy To Clean Heat Resistant Spoon Pad</c:v>
                </c:pt>
                <c:pt idx="44">
                  <c:v>Wall Clock With Hidden Safe Box</c:v>
                </c:pt>
                <c:pt idx="45">
                  <c:v>Wall Mount Automatic Toothpaste Dispenser Toothbrush Holder Toothpaste Squeezer</c:v>
                </c:pt>
                <c:pt idx="46">
                  <c:v>Wall-Mounted Toothbrush Toothpaste Holder With Multiple Slots</c:v>
                </c:pt>
              </c:strCache>
            </c:strRef>
          </c:cat>
          <c:val>
            <c:numRef>
              <c:f>'Product Performance'!$C$4:$C$51</c:f>
              <c:numCache>
                <c:formatCode>General</c:formatCode>
                <c:ptCount val="47"/>
                <c:pt idx="0">
                  <c:v>0.27</c:v>
                </c:pt>
                <c:pt idx="1">
                  <c:v>0.24</c:v>
                </c:pt>
                <c:pt idx="2">
                  <c:v>0.02</c:v>
                </c:pt>
                <c:pt idx="3">
                  <c:v>0.01</c:v>
                </c:pt>
                <c:pt idx="4">
                  <c:v>0.5</c:v>
                </c:pt>
                <c:pt idx="5">
                  <c:v>0.38</c:v>
                </c:pt>
                <c:pt idx="6">
                  <c:v>0.47</c:v>
                </c:pt>
                <c:pt idx="7">
                  <c:v>0.43</c:v>
                </c:pt>
                <c:pt idx="8">
                  <c:v>0.49</c:v>
                </c:pt>
                <c:pt idx="9">
                  <c:v>0.49</c:v>
                </c:pt>
                <c:pt idx="10">
                  <c:v>0.42</c:v>
                </c:pt>
                <c:pt idx="11">
                  <c:v>0.36</c:v>
                </c:pt>
                <c:pt idx="12">
                  <c:v>0.64</c:v>
                </c:pt>
                <c:pt idx="13">
                  <c:v>0.33</c:v>
                </c:pt>
                <c:pt idx="14">
                  <c:v>0.49</c:v>
                </c:pt>
                <c:pt idx="15">
                  <c:v>0.42</c:v>
                </c:pt>
                <c:pt idx="16">
                  <c:v>0.41</c:v>
                </c:pt>
                <c:pt idx="17">
                  <c:v>0.49</c:v>
                </c:pt>
                <c:pt idx="18">
                  <c:v>0.47</c:v>
                </c:pt>
                <c:pt idx="19">
                  <c:v>0.5</c:v>
                </c:pt>
                <c:pt idx="20">
                  <c:v>0.49</c:v>
                </c:pt>
                <c:pt idx="21">
                  <c:v>0.49</c:v>
                </c:pt>
                <c:pt idx="22">
                  <c:v>0.34</c:v>
                </c:pt>
                <c:pt idx="23">
                  <c:v>0.5</c:v>
                </c:pt>
                <c:pt idx="24">
                  <c:v>0.48</c:v>
                </c:pt>
                <c:pt idx="25">
                  <c:v>0.04</c:v>
                </c:pt>
                <c:pt idx="26">
                  <c:v>0.41</c:v>
                </c:pt>
                <c:pt idx="27">
                  <c:v>0.38</c:v>
                </c:pt>
                <c:pt idx="28">
                  <c:v>0.34</c:v>
                </c:pt>
                <c:pt idx="29">
                  <c:v>0.04</c:v>
                </c:pt>
                <c:pt idx="30">
                  <c:v>0.5</c:v>
                </c:pt>
                <c:pt idx="31">
                  <c:v>0.43</c:v>
                </c:pt>
                <c:pt idx="32">
                  <c:v>0.46</c:v>
                </c:pt>
                <c:pt idx="33">
                  <c:v>0.03</c:v>
                </c:pt>
                <c:pt idx="34">
                  <c:v>0.14000000000000001</c:v>
                </c:pt>
                <c:pt idx="35">
                  <c:v>0.11</c:v>
                </c:pt>
                <c:pt idx="36">
                  <c:v>0.02</c:v>
                </c:pt>
                <c:pt idx="37">
                  <c:v>0.22</c:v>
                </c:pt>
                <c:pt idx="38">
                  <c:v>0.02</c:v>
                </c:pt>
                <c:pt idx="39">
                  <c:v>0.48</c:v>
                </c:pt>
                <c:pt idx="40">
                  <c:v>0.48</c:v>
                </c:pt>
                <c:pt idx="41">
                  <c:v>0.02</c:v>
                </c:pt>
                <c:pt idx="42">
                  <c:v>0.02</c:v>
                </c:pt>
                <c:pt idx="43">
                  <c:v>0.02</c:v>
                </c:pt>
                <c:pt idx="44">
                  <c:v>0.5</c:v>
                </c:pt>
                <c:pt idx="45">
                  <c:v>0.08</c:v>
                </c:pt>
                <c:pt idx="46">
                  <c:v>0.14000000000000001</c:v>
                </c:pt>
              </c:numCache>
            </c:numRef>
          </c:val>
          <c:extLst>
            <c:ext xmlns:c16="http://schemas.microsoft.com/office/drawing/2014/chart" uri="{C3380CC4-5D6E-409C-BE32-E72D297353CC}">
              <c16:uniqueId val="{00000029-EB68-413B-9889-5CA522DD5D24}"/>
            </c:ext>
          </c:extLst>
        </c:ser>
        <c:ser>
          <c:idx val="2"/>
          <c:order val="2"/>
          <c:tx>
            <c:strRef>
              <c:f>'Product Performance'!$D$3</c:f>
              <c:strCache>
                <c:ptCount val="1"/>
                <c:pt idx="0">
                  <c:v>Sum of Absolute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EB68-413B-9889-5CA522DD5D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EB68-413B-9889-5CA522DD5D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EB68-413B-9889-5CA522DD5D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EB68-413B-9889-5CA522DD5D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EB68-413B-9889-5CA522DD5D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EB68-413B-9889-5CA522DD5D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EB68-413B-9889-5CA522DD5D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9-EB68-413B-9889-5CA522DD5D2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B-EB68-413B-9889-5CA522DD5D2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D-EB68-413B-9889-5CA522DD5D24}"/>
              </c:ext>
            </c:extLst>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Performance'!$A$4:$A$51</c:f>
              <c:strCache>
                <c:ptCount val="47"/>
                <c:pt idx="0">
                  <c:v>12V 19500rpm Handheld Electric Angle Grinder Tool - UK - Yellow/Black</c:v>
                </c:pt>
                <c:pt idx="1">
                  <c:v>1PC Refrigerator Food Seal Pocket Fridge Bags</c:v>
                </c:pt>
                <c:pt idx="2">
                  <c:v>2 Pairs Cowhide Split Leather Work Gloves.32â„‰ Or Above Welding Gloves</c:v>
                </c:pt>
                <c:pt idx="3">
                  <c:v>24 Grid Wall-mounted Sundries Organiser Fabric Closet Bag Storage Rack</c:v>
                </c:pt>
                <c:pt idx="4">
                  <c:v>2PCS Ice Silk Square Cushion Cover Pillowcases - 65x65cm</c:v>
                </c:pt>
                <c:pt idx="5">
                  <c:v>2pcs Solar Street Light Flood Light Outdoor</c:v>
                </c:pt>
                <c:pt idx="6">
                  <c:v>2PCS/LOT Solar LED Outdoor Intelligent Light Controlled Wall Lamp</c:v>
                </c:pt>
                <c:pt idx="7">
                  <c:v>3PCS Rotary Scraper Thermomix For Kitchen</c:v>
                </c:pt>
                <c:pt idx="8">
                  <c:v>4 Piece Coloured Stainless Steel Kitchenware Set</c:v>
                </c:pt>
                <c:pt idx="9">
                  <c:v>4M Float Switch Water Level Controller -Water Tank</c:v>
                </c:pt>
                <c:pt idx="10">
                  <c:v>4pcs Bathroom/Kitchen Towel Rack,Roll Paper Holder,Towel Bars,Hook</c:v>
                </c:pt>
                <c:pt idx="11">
                  <c:v>5m Waterproof Spherical LED String Lights Outdoor Ball Chain Lights Party Lighting Decoration Adjustable</c:v>
                </c:pt>
                <c:pt idx="12">
                  <c:v>6 In 1 Bottle Can Opener Multifunctional Easy Opener</c:v>
                </c:pt>
                <c:pt idx="13">
                  <c:v>60W Hot Melt Glue Sprayer - Efficient And Stable Glue Dispensing</c:v>
                </c:pt>
                <c:pt idx="14">
                  <c:v>7PCS Silicone Thumb Knife Finger Protector Vegetable Harvesting Knife</c:v>
                </c:pt>
                <c:pt idx="15">
                  <c:v>8in1 Screwdriver With LED Light</c:v>
                </c:pt>
                <c:pt idx="16">
                  <c:v>9pcs Gas Mask, For Painting, Dust, Formaldehyde Grinding, Polishing</c:v>
                </c:pt>
                <c:pt idx="17">
                  <c:v>Baby Early Education Shape And Color Cognitive Training Toys</c:v>
                </c:pt>
                <c:pt idx="18">
                  <c:v>Black Simple Water Cup Wine Coaster Anti Slip Absorbent</c:v>
                </c:pt>
                <c:pt idx="19">
                  <c:v>Brush &amp; Paintbrush Cleaning Tool Pink</c:v>
                </c:pt>
                <c:pt idx="20">
                  <c:v>Car Phone Charging Stand</c:v>
                </c:pt>
                <c:pt idx="21">
                  <c:v>Cartoon Car Decoration Cute Individuality For Car Home Desk</c:v>
                </c:pt>
                <c:pt idx="22">
                  <c:v>Cartoon Embroidered Mini Towel Bear Cotton Wash Cloth Hand 4pcs</c:v>
                </c:pt>
                <c:pt idx="23">
                  <c:v>Christmas Elk Fence Yard Lawn Decorations Cute For Holidays</c:v>
                </c:pt>
                <c:pt idx="24">
                  <c:v>Christmas Fence Garden Decorations Outdoor For Holiday Home</c:v>
                </c:pt>
                <c:pt idx="25">
                  <c:v>Cushion Silicone Butt Cushion Summer Ice Cushion Honeycomb Gel Cushion</c:v>
                </c:pt>
                <c:pt idx="26">
                  <c:v>Cute Christmas Fence Garden Decorations For Holiday Home</c:v>
                </c:pt>
                <c:pt idx="27">
                  <c:v>LASA Stainless Steel Double Wall Mount Soap Dispenser - 500ml</c:v>
                </c:pt>
                <c:pt idx="28">
                  <c:v>LED Solar Street Light-fake Camera</c:v>
                </c:pt>
                <c:pt idx="29">
                  <c:v>Metal Wall Clock Silver Dial Crystal Jewelry Round Home Decoration Wall Clock</c:v>
                </c:pt>
                <c:pt idx="30">
                  <c:v>Modern Sofa Throw Pillow Cover-45x45cm-Blue&amp;Red</c:v>
                </c:pt>
                <c:pt idx="31">
                  <c:v>Multifunctional Hanging Storage Box Storage Bag (4 Layers)</c:v>
                </c:pt>
                <c:pt idx="32">
                  <c:v>MultiFunctional Storage Rack Multi-layer Booelf</c:v>
                </c:pt>
                <c:pt idx="33">
                  <c:v>Multi-purpose Rice Drainage Basket And Fruit And Vegetable Drainage Sieve</c:v>
                </c:pt>
                <c:pt idx="34">
                  <c:v>Office Chair Lumbar Back Support Spine Posture Correction Pillow Car Cushion</c:v>
                </c:pt>
                <c:pt idx="35">
                  <c:v>Outdoor Portable Water Bottle With Medicine Box - 600ML - Black</c:v>
                </c:pt>
                <c:pt idx="36">
                  <c:v>Pen Grips For Kids Pen Grip Posture Correction Tool For Kids</c:v>
                </c:pt>
                <c:pt idx="37">
                  <c:v>Pilates Cloth Bag Waterproof Durable High Capacity Purple</c:v>
                </c:pt>
                <c:pt idx="38">
                  <c:v>Portable Soap Dispenser Kitchen Detergent Press Box Kitchen Tools</c:v>
                </c:pt>
                <c:pt idx="39">
                  <c:v>Portable Wine Table With Folding Round Table</c:v>
                </c:pt>
                <c:pt idx="40">
                  <c:v>Sewing Machine Needle Threader Stitch Insertion Tool Automatic Quick Sewing</c:v>
                </c:pt>
                <c:pt idx="41">
                  <c:v>Shower Cap Wide Elastic Band Cover Reusable Bashroom Cap</c:v>
                </c:pt>
                <c:pt idx="42">
                  <c:v>Shower Nozzle Cleaning Unclogging Needle Mini Crevice Small Hole Cleaning Brush</c:v>
                </c:pt>
                <c:pt idx="43">
                  <c:v>Thickening Multipurpose Non Stick Easy To Clean Heat Resistant Spoon Pad</c:v>
                </c:pt>
                <c:pt idx="44">
                  <c:v>Wall Clock With Hidden Safe Box</c:v>
                </c:pt>
                <c:pt idx="45">
                  <c:v>Wall Mount Automatic Toothpaste Dispenser Toothbrush Holder Toothpaste Squeezer</c:v>
                </c:pt>
                <c:pt idx="46">
                  <c:v>Wall-Mounted Toothbrush Toothpaste Holder With Multiple Slots</c:v>
                </c:pt>
              </c:strCache>
            </c:strRef>
          </c:cat>
          <c:val>
            <c:numRef>
              <c:f>'Product Performance'!$D$4:$D$51</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extLst>
            <c:ext xmlns:c16="http://schemas.microsoft.com/office/drawing/2014/chart" uri="{C3380CC4-5D6E-409C-BE32-E72D297353CC}">
              <c16:uniqueId val="{0000003E-EB68-413B-9889-5CA522DD5D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[Jumia_dataset_analysis.xlsx]Product Categories!PivotTable25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2"/>
                </a:solidFill>
              </a:rPr>
              <a:t>Product</a:t>
            </a:r>
            <a:r>
              <a:rPr lang="en-GB" b="1" baseline="0">
                <a:solidFill>
                  <a:schemeClr val="accent2"/>
                </a:solidFill>
              </a:rPr>
              <a:t> Category</a:t>
            </a:r>
            <a:endParaRPr lang="en-GB" b="1">
              <a:solidFill>
                <a:schemeClr val="accent2"/>
              </a:solidFill>
            </a:endParaRP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Categories'!$B$4:$B$5</c:f>
              <c:strCache>
                <c:ptCount val="1"/>
                <c:pt idx="0">
                  <c:v>High Discount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Categories'!$A$6:$A$8</c:f>
              <c:strCache>
                <c:ptCount val="2"/>
                <c:pt idx="0">
                  <c:v>Average</c:v>
                </c:pt>
                <c:pt idx="1">
                  <c:v>Poor</c:v>
                </c:pt>
              </c:strCache>
            </c:strRef>
          </c:cat>
          <c:val>
            <c:numRef>
              <c:f>'Product Categories'!$B$6:$B$8</c:f>
              <c:numCache>
                <c:formatCode>General</c:formatCode>
                <c:ptCount val="2"/>
                <c:pt idx="0">
                  <c:v>1</c:v>
                </c:pt>
                <c:pt idx="1">
                  <c:v>23</c:v>
                </c:pt>
              </c:numCache>
            </c:numRef>
          </c:val>
          <c:extLst>
            <c:ext xmlns:c16="http://schemas.microsoft.com/office/drawing/2014/chart" uri="{C3380CC4-5D6E-409C-BE32-E72D297353CC}">
              <c16:uniqueId val="{00000000-E149-4DB8-A7D4-AFBC7EE9B293}"/>
            </c:ext>
          </c:extLst>
        </c:ser>
        <c:ser>
          <c:idx val="1"/>
          <c:order val="1"/>
          <c:tx>
            <c:strRef>
              <c:f>'Product Categories'!$C$4:$C$5</c:f>
              <c:strCache>
                <c:ptCount val="1"/>
                <c:pt idx="0">
                  <c:v>Low Discount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Categories'!$A$6:$A$8</c:f>
              <c:strCache>
                <c:ptCount val="2"/>
                <c:pt idx="0">
                  <c:v>Average</c:v>
                </c:pt>
                <c:pt idx="1">
                  <c:v>Poor</c:v>
                </c:pt>
              </c:strCache>
            </c:strRef>
          </c:cat>
          <c:val>
            <c:numRef>
              <c:f>'Product Categories'!$C$6:$C$8</c:f>
              <c:numCache>
                <c:formatCode>General</c:formatCode>
                <c:ptCount val="2"/>
                <c:pt idx="1">
                  <c:v>14</c:v>
                </c:pt>
              </c:numCache>
            </c:numRef>
          </c:val>
          <c:extLst>
            <c:ext xmlns:c16="http://schemas.microsoft.com/office/drawing/2014/chart" uri="{C3380CC4-5D6E-409C-BE32-E72D297353CC}">
              <c16:uniqueId val="{00000001-E5FB-4AD5-8BCE-30CC29CB9E93}"/>
            </c:ext>
          </c:extLst>
        </c:ser>
        <c:ser>
          <c:idx val="2"/>
          <c:order val="2"/>
          <c:tx>
            <c:strRef>
              <c:f>'Product Categories'!$D$4:$D$5</c:f>
              <c:strCache>
                <c:ptCount val="1"/>
                <c:pt idx="0">
                  <c:v>Medium Discount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Categories'!$A$6:$A$8</c:f>
              <c:strCache>
                <c:ptCount val="2"/>
                <c:pt idx="0">
                  <c:v>Average</c:v>
                </c:pt>
                <c:pt idx="1">
                  <c:v>Poor</c:v>
                </c:pt>
              </c:strCache>
            </c:strRef>
          </c:cat>
          <c:val>
            <c:numRef>
              <c:f>'Product Categories'!$D$6:$D$8</c:f>
              <c:numCache>
                <c:formatCode>General</c:formatCode>
                <c:ptCount val="2"/>
                <c:pt idx="1">
                  <c:v>9</c:v>
                </c:pt>
              </c:numCache>
            </c:numRef>
          </c:val>
          <c:extLst>
            <c:ext xmlns:c16="http://schemas.microsoft.com/office/drawing/2014/chart" uri="{C3380CC4-5D6E-409C-BE32-E72D297353CC}">
              <c16:uniqueId val="{00000002-E5FB-4AD5-8BCE-30CC29CB9E93}"/>
            </c:ext>
          </c:extLst>
        </c:ser>
        <c:dLbls>
          <c:dLblPos val="outEnd"/>
          <c:showLegendKey val="0"/>
          <c:showVal val="1"/>
          <c:showCatName val="0"/>
          <c:showSerName val="0"/>
          <c:showPercent val="0"/>
          <c:showBubbleSize val="0"/>
        </c:dLbls>
        <c:gapWidth val="219"/>
        <c:overlap val="-27"/>
        <c:axId val="383795248"/>
        <c:axId val="383798128"/>
      </c:barChart>
      <c:catAx>
        <c:axId val="3837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383798128"/>
        <c:crosses val="autoZero"/>
        <c:auto val="1"/>
        <c:lblAlgn val="ctr"/>
        <c:lblOffset val="100"/>
        <c:noMultiLvlLbl val="0"/>
      </c:catAx>
      <c:valAx>
        <c:axId val="38379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8379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'Cleaning '!$E$1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xVal>
            <c:numRef>
              <c:f>'Cleaning '!$D$2:$D$106</c:f>
              <c:numCache>
                <c:formatCode>0%</c:formatCode>
                <c:ptCount val="105"/>
                <c:pt idx="0">
                  <c:v>0.5</c:v>
                </c:pt>
                <c:pt idx="1">
                  <c:v>0.49</c:v>
                </c:pt>
                <c:pt idx="2">
                  <c:v>0.49</c:v>
                </c:pt>
                <c:pt idx="3">
                  <c:v>0.46</c:v>
                </c:pt>
                <c:pt idx="4">
                  <c:v>0.4</c:v>
                </c:pt>
                <c:pt idx="5">
                  <c:v>0.21</c:v>
                </c:pt>
                <c:pt idx="6">
                  <c:v>0.53</c:v>
                </c:pt>
                <c:pt idx="7">
                  <c:v>0.51</c:v>
                </c:pt>
                <c:pt idx="8">
                  <c:v>0.46</c:v>
                </c:pt>
                <c:pt idx="9">
                  <c:v>0.38</c:v>
                </c:pt>
                <c:pt idx="10">
                  <c:v>0.38</c:v>
                </c:pt>
                <c:pt idx="11">
                  <c:v>0.37</c:v>
                </c:pt>
                <c:pt idx="12">
                  <c:v>0.49</c:v>
                </c:pt>
                <c:pt idx="13">
                  <c:v>0.55000000000000004</c:v>
                </c:pt>
                <c:pt idx="14">
                  <c:v>0.45</c:v>
                </c:pt>
                <c:pt idx="15">
                  <c:v>0.43</c:v>
                </c:pt>
                <c:pt idx="16">
                  <c:v>0.39</c:v>
                </c:pt>
                <c:pt idx="17">
                  <c:v>0.28999999999999998</c:v>
                </c:pt>
                <c:pt idx="18">
                  <c:v>0.26</c:v>
                </c:pt>
                <c:pt idx="19">
                  <c:v>0.19</c:v>
                </c:pt>
                <c:pt idx="20">
                  <c:v>0.47</c:v>
                </c:pt>
                <c:pt idx="21">
                  <c:v>0.45</c:v>
                </c:pt>
                <c:pt idx="22">
                  <c:v>0.43</c:v>
                </c:pt>
                <c:pt idx="23">
                  <c:v>0.42</c:v>
                </c:pt>
                <c:pt idx="24">
                  <c:v>0.35</c:v>
                </c:pt>
                <c:pt idx="25">
                  <c:v>0.13</c:v>
                </c:pt>
                <c:pt idx="26">
                  <c:v>0.54</c:v>
                </c:pt>
                <c:pt idx="27">
                  <c:v>0.5</c:v>
                </c:pt>
                <c:pt idx="28">
                  <c:v>0.47</c:v>
                </c:pt>
                <c:pt idx="29">
                  <c:v>0.37</c:v>
                </c:pt>
                <c:pt idx="30">
                  <c:v>0.52</c:v>
                </c:pt>
                <c:pt idx="31">
                  <c:v>0.48</c:v>
                </c:pt>
                <c:pt idx="32">
                  <c:v>0.33</c:v>
                </c:pt>
                <c:pt idx="33">
                  <c:v>0.54</c:v>
                </c:pt>
                <c:pt idx="34">
                  <c:v>0.47</c:v>
                </c:pt>
                <c:pt idx="35">
                  <c:v>0.34</c:v>
                </c:pt>
                <c:pt idx="36">
                  <c:v>0.2</c:v>
                </c:pt>
                <c:pt idx="37">
                  <c:v>0.18</c:v>
                </c:pt>
                <c:pt idx="38">
                  <c:v>0.55000000000000004</c:v>
                </c:pt>
                <c:pt idx="39">
                  <c:v>0.53</c:v>
                </c:pt>
                <c:pt idx="40">
                  <c:v>0.32</c:v>
                </c:pt>
                <c:pt idx="41">
                  <c:v>0.47</c:v>
                </c:pt>
                <c:pt idx="42">
                  <c:v>0.23</c:v>
                </c:pt>
                <c:pt idx="43">
                  <c:v>0.52</c:v>
                </c:pt>
                <c:pt idx="44">
                  <c:v>0.09</c:v>
                </c:pt>
                <c:pt idx="45">
                  <c:v>0.22</c:v>
                </c:pt>
                <c:pt idx="46">
                  <c:v>0.45</c:v>
                </c:pt>
                <c:pt idx="47">
                  <c:v>0.3</c:v>
                </c:pt>
                <c:pt idx="48">
                  <c:v>0.27</c:v>
                </c:pt>
                <c:pt idx="49">
                  <c:v>0.25</c:v>
                </c:pt>
                <c:pt idx="50">
                  <c:v>0.27</c:v>
                </c:pt>
                <c:pt idx="51">
                  <c:v>0.41</c:v>
                </c:pt>
                <c:pt idx="52">
                  <c:v>0.34</c:v>
                </c:pt>
                <c:pt idx="53">
                  <c:v>0.49</c:v>
                </c:pt>
                <c:pt idx="54">
                  <c:v>0.35</c:v>
                </c:pt>
                <c:pt idx="55">
                  <c:v>0.24</c:v>
                </c:pt>
                <c:pt idx="56">
                  <c:v>0.49</c:v>
                </c:pt>
                <c:pt idx="57">
                  <c:v>0.64</c:v>
                </c:pt>
                <c:pt idx="58">
                  <c:v>0.5</c:v>
                </c:pt>
                <c:pt idx="59">
                  <c:v>0.5</c:v>
                </c:pt>
                <c:pt idx="60">
                  <c:v>0.5</c:v>
                </c:pt>
                <c:pt idx="61">
                  <c:v>0.5</c:v>
                </c:pt>
                <c:pt idx="62">
                  <c:v>0.5</c:v>
                </c:pt>
                <c:pt idx="63">
                  <c:v>0.49</c:v>
                </c:pt>
                <c:pt idx="64">
                  <c:v>0.49</c:v>
                </c:pt>
                <c:pt idx="65">
                  <c:v>0.49</c:v>
                </c:pt>
                <c:pt idx="66">
                  <c:v>0.49</c:v>
                </c:pt>
                <c:pt idx="67">
                  <c:v>0.49</c:v>
                </c:pt>
                <c:pt idx="68">
                  <c:v>0.49</c:v>
                </c:pt>
                <c:pt idx="69">
                  <c:v>0.48</c:v>
                </c:pt>
                <c:pt idx="70">
                  <c:v>0.48</c:v>
                </c:pt>
                <c:pt idx="71">
                  <c:v>0.48</c:v>
                </c:pt>
                <c:pt idx="72">
                  <c:v>0.47</c:v>
                </c:pt>
                <c:pt idx="73">
                  <c:v>0.47</c:v>
                </c:pt>
                <c:pt idx="74">
                  <c:v>0.46</c:v>
                </c:pt>
                <c:pt idx="75">
                  <c:v>0.43</c:v>
                </c:pt>
                <c:pt idx="76">
                  <c:v>0.43</c:v>
                </c:pt>
                <c:pt idx="77">
                  <c:v>0.42</c:v>
                </c:pt>
                <c:pt idx="78">
                  <c:v>0.42</c:v>
                </c:pt>
                <c:pt idx="79">
                  <c:v>0.41</c:v>
                </c:pt>
                <c:pt idx="80">
                  <c:v>0.41</c:v>
                </c:pt>
                <c:pt idx="81">
                  <c:v>0.38</c:v>
                </c:pt>
                <c:pt idx="82">
                  <c:v>0.38</c:v>
                </c:pt>
                <c:pt idx="83">
                  <c:v>0.36</c:v>
                </c:pt>
                <c:pt idx="84">
                  <c:v>0.34</c:v>
                </c:pt>
                <c:pt idx="85">
                  <c:v>0.34</c:v>
                </c:pt>
                <c:pt idx="86">
                  <c:v>0.33</c:v>
                </c:pt>
                <c:pt idx="87">
                  <c:v>0.27</c:v>
                </c:pt>
                <c:pt idx="88">
                  <c:v>0.24</c:v>
                </c:pt>
                <c:pt idx="89">
                  <c:v>0.22</c:v>
                </c:pt>
                <c:pt idx="90">
                  <c:v>0.14000000000000001</c:v>
                </c:pt>
                <c:pt idx="91">
                  <c:v>0.14000000000000001</c:v>
                </c:pt>
                <c:pt idx="92">
                  <c:v>0.11</c:v>
                </c:pt>
                <c:pt idx="93">
                  <c:v>0.08</c:v>
                </c:pt>
                <c:pt idx="94">
                  <c:v>0.04</c:v>
                </c:pt>
                <c:pt idx="95">
                  <c:v>0.04</c:v>
                </c:pt>
                <c:pt idx="96">
                  <c:v>0.03</c:v>
                </c:pt>
                <c:pt idx="97">
                  <c:v>0.02</c:v>
                </c:pt>
                <c:pt idx="98">
                  <c:v>0.02</c:v>
                </c:pt>
                <c:pt idx="99">
                  <c:v>0.02</c:v>
                </c:pt>
                <c:pt idx="100">
                  <c:v>0.02</c:v>
                </c:pt>
                <c:pt idx="101">
                  <c:v>0.02</c:v>
                </c:pt>
                <c:pt idx="102">
                  <c:v>0.02</c:v>
                </c:pt>
                <c:pt idx="103">
                  <c:v>0.01</c:v>
                </c:pt>
                <c:pt idx="104">
                  <c:v>0.35788461538461547</c:v>
                </c:pt>
              </c:numCache>
            </c:numRef>
          </c:xVal>
          <c:yVal>
            <c:numRef>
              <c:f>'Cleaning '!$E$2:$E$106</c:f>
              <c:numCache>
                <c:formatCode>General</c:formatCode>
                <c:ptCount val="105"/>
                <c:pt idx="0">
                  <c:v>-1</c:v>
                </c:pt>
                <c:pt idx="1">
                  <c:v>-1</c:v>
                </c:pt>
                <c:pt idx="2">
                  <c:v>-1</c:v>
                </c:pt>
                <c:pt idx="3">
                  <c:v>-1</c:v>
                </c:pt>
                <c:pt idx="4">
                  <c:v>-1</c:v>
                </c:pt>
                <c:pt idx="5">
                  <c:v>-1</c:v>
                </c:pt>
                <c:pt idx="6">
                  <c:v>-2</c:v>
                </c:pt>
                <c:pt idx="7">
                  <c:v>-2</c:v>
                </c:pt>
                <c:pt idx="8">
                  <c:v>-2</c:v>
                </c:pt>
                <c:pt idx="9">
                  <c:v>-2</c:v>
                </c:pt>
                <c:pt idx="10">
                  <c:v>-2</c:v>
                </c:pt>
                <c:pt idx="11">
                  <c:v>-2</c:v>
                </c:pt>
                <c:pt idx="12">
                  <c:v>-3</c:v>
                </c:pt>
                <c:pt idx="13">
                  <c:v>-5</c:v>
                </c:pt>
                <c:pt idx="14">
                  <c:v>-5</c:v>
                </c:pt>
                <c:pt idx="15">
                  <c:v>-5</c:v>
                </c:pt>
                <c:pt idx="16">
                  <c:v>-5</c:v>
                </c:pt>
                <c:pt idx="17">
                  <c:v>-5</c:v>
                </c:pt>
                <c:pt idx="18">
                  <c:v>-5</c:v>
                </c:pt>
                <c:pt idx="19">
                  <c:v>-5</c:v>
                </c:pt>
                <c:pt idx="20">
                  <c:v>-6</c:v>
                </c:pt>
                <c:pt idx="21">
                  <c:v>-6</c:v>
                </c:pt>
                <c:pt idx="22">
                  <c:v>-6</c:v>
                </c:pt>
                <c:pt idx="23">
                  <c:v>-6</c:v>
                </c:pt>
                <c:pt idx="24">
                  <c:v>-6</c:v>
                </c:pt>
                <c:pt idx="25">
                  <c:v>-6</c:v>
                </c:pt>
                <c:pt idx="26">
                  <c:v>-7</c:v>
                </c:pt>
                <c:pt idx="27">
                  <c:v>-7</c:v>
                </c:pt>
                <c:pt idx="28">
                  <c:v>-7</c:v>
                </c:pt>
                <c:pt idx="29">
                  <c:v>-7</c:v>
                </c:pt>
                <c:pt idx="30">
                  <c:v>-9</c:v>
                </c:pt>
                <c:pt idx="31">
                  <c:v>-9</c:v>
                </c:pt>
                <c:pt idx="32">
                  <c:v>-9</c:v>
                </c:pt>
                <c:pt idx="33">
                  <c:v>-10</c:v>
                </c:pt>
                <c:pt idx="34">
                  <c:v>-12</c:v>
                </c:pt>
                <c:pt idx="35">
                  <c:v>-12</c:v>
                </c:pt>
                <c:pt idx="36">
                  <c:v>-12</c:v>
                </c:pt>
                <c:pt idx="37">
                  <c:v>-12</c:v>
                </c:pt>
                <c:pt idx="38">
                  <c:v>-13</c:v>
                </c:pt>
                <c:pt idx="39">
                  <c:v>-13</c:v>
                </c:pt>
                <c:pt idx="40">
                  <c:v>-13</c:v>
                </c:pt>
                <c:pt idx="41">
                  <c:v>-14</c:v>
                </c:pt>
                <c:pt idx="42">
                  <c:v>-14</c:v>
                </c:pt>
                <c:pt idx="43">
                  <c:v>-15</c:v>
                </c:pt>
                <c:pt idx="44">
                  <c:v>-15</c:v>
                </c:pt>
                <c:pt idx="45">
                  <c:v>-16</c:v>
                </c:pt>
                <c:pt idx="46">
                  <c:v>-17</c:v>
                </c:pt>
                <c:pt idx="47">
                  <c:v>-20</c:v>
                </c:pt>
                <c:pt idx="48">
                  <c:v>-20</c:v>
                </c:pt>
                <c:pt idx="49">
                  <c:v>-24</c:v>
                </c:pt>
                <c:pt idx="50">
                  <c:v>-32</c:v>
                </c:pt>
                <c:pt idx="51">
                  <c:v>-36</c:v>
                </c:pt>
                <c:pt idx="52">
                  <c:v>-39</c:v>
                </c:pt>
                <c:pt idx="53">
                  <c:v>-44</c:v>
                </c:pt>
                <c:pt idx="54">
                  <c:v>-49</c:v>
                </c:pt>
                <c:pt idx="55">
                  <c:v>-55</c:v>
                </c:pt>
                <c:pt idx="56">
                  <c:v>-69</c:v>
                </c:pt>
              </c:numCache>
            </c:numRef>
          </c:yVal>
          <c:smooth val="0"/>
          <c:extLst>
            <c:ext xmlns:c16="http://schemas.microsoft.com/office/drawing/2014/chart" uri="{C3380CC4-5D6E-409C-BE32-E72D297353CC}">
              <c16:uniqueId val="{00000000-68B3-417E-8526-6926F2C26C23}"/>
            </c:ext>
          </c:extLst>
        </c:ser>
        <c:dLbls>
          <c:showLegendKey val="0"/>
          <c:showVal val="0"/>
          <c:showCatName val="0"/>
          <c:showSerName val="0"/>
          <c:showPercent val="0"/>
          <c:showBubbleSize val="0"/>
        </c:dLbls>
        <c:axId val="1069140591"/>
        <c:axId val="1069140111"/>
      </c:scatterChart>
      <c:valAx>
        <c:axId val="10691405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40111"/>
        <c:crosses val="autoZero"/>
        <c:crossBetween val="midCat"/>
      </c:valAx>
      <c:valAx>
        <c:axId val="106914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4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6350</xdr:colOff>
      <xdr:row>2</xdr:row>
      <xdr:rowOff>171450</xdr:rowOff>
    </xdr:from>
    <xdr:to>
      <xdr:col>13</xdr:col>
      <xdr:colOff>603250</xdr:colOff>
      <xdr:row>18</xdr:row>
      <xdr:rowOff>69850</xdr:rowOff>
    </xdr:to>
    <xdr:graphicFrame macro="">
      <xdr:nvGraphicFramePr>
        <xdr:cNvPr id="2" name="Chart 1">
          <a:extLst>
            <a:ext uri="{FF2B5EF4-FFF2-40B4-BE49-F238E27FC236}">
              <a16:creationId xmlns:a16="http://schemas.microsoft.com/office/drawing/2014/main" id="{87561542-E457-6E57-131C-C91E8A9E1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7135</xdr:colOff>
      <xdr:row>1</xdr:row>
      <xdr:rowOff>173090</xdr:rowOff>
    </xdr:from>
    <xdr:to>
      <xdr:col>13</xdr:col>
      <xdr:colOff>227601</xdr:colOff>
      <xdr:row>19</xdr:row>
      <xdr:rowOff>49942</xdr:rowOff>
    </xdr:to>
    <xdr:graphicFrame macro="">
      <xdr:nvGraphicFramePr>
        <xdr:cNvPr id="2" name="Chart 1">
          <a:extLst>
            <a:ext uri="{FF2B5EF4-FFF2-40B4-BE49-F238E27FC236}">
              <a16:creationId xmlns:a16="http://schemas.microsoft.com/office/drawing/2014/main" id="{841437D0-BC45-C83E-54A9-AFD639A19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771525</xdr:colOff>
      <xdr:row>2</xdr:row>
      <xdr:rowOff>142875</xdr:rowOff>
    </xdr:from>
    <xdr:to>
      <xdr:col>8</xdr:col>
      <xdr:colOff>361950</xdr:colOff>
      <xdr:row>17</xdr:row>
      <xdr:rowOff>28575</xdr:rowOff>
    </xdr:to>
    <xdr:graphicFrame macro="">
      <xdr:nvGraphicFramePr>
        <xdr:cNvPr id="2" name="Chart 1">
          <a:extLst>
            <a:ext uri="{FF2B5EF4-FFF2-40B4-BE49-F238E27FC236}">
              <a16:creationId xmlns:a16="http://schemas.microsoft.com/office/drawing/2014/main" id="{83BDC7AF-C6EF-4801-B075-C339EB7FA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556849</xdr:colOff>
      <xdr:row>8</xdr:row>
      <xdr:rowOff>131883</xdr:rowOff>
    </xdr:from>
    <xdr:to>
      <xdr:col>11</xdr:col>
      <xdr:colOff>548545</xdr:colOff>
      <xdr:row>22</xdr:row>
      <xdr:rowOff>144582</xdr:rowOff>
    </xdr:to>
    <xdr:graphicFrame macro="">
      <xdr:nvGraphicFramePr>
        <xdr:cNvPr id="11" name="Chart 10">
          <a:extLst>
            <a:ext uri="{FF2B5EF4-FFF2-40B4-BE49-F238E27FC236}">
              <a16:creationId xmlns:a16="http://schemas.microsoft.com/office/drawing/2014/main" id="{AC1C6F4B-7B30-44EB-BF74-B6CE11B36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439615</xdr:colOff>
      <xdr:row>8</xdr:row>
      <xdr:rowOff>117232</xdr:rowOff>
    </xdr:from>
    <xdr:to>
      <xdr:col>20</xdr:col>
      <xdr:colOff>410308</xdr:colOff>
      <xdr:row>22</xdr:row>
      <xdr:rowOff>146538</xdr:rowOff>
    </xdr:to>
    <xdr:graphicFrame macro="">
      <xdr:nvGraphicFramePr>
        <xdr:cNvPr id="12" name="Chart 11">
          <a:extLst>
            <a:ext uri="{FF2B5EF4-FFF2-40B4-BE49-F238E27FC236}">
              <a16:creationId xmlns:a16="http://schemas.microsoft.com/office/drawing/2014/main" id="{C031DD02-71A4-41F9-BA2A-809511716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447736</xdr:colOff>
      <xdr:row>25</xdr:row>
      <xdr:rowOff>145318</xdr:rowOff>
    </xdr:from>
    <xdr:to>
      <xdr:col>3</xdr:col>
      <xdr:colOff>547686</xdr:colOff>
      <xdr:row>34</xdr:row>
      <xdr:rowOff>11905</xdr:rowOff>
    </xdr:to>
    <mc:AlternateContent xmlns:mc="http://schemas.openxmlformats.org/markup-compatibility/2006">
      <mc:Choice xmlns:a14="http://schemas.microsoft.com/office/drawing/2010/main" Requires="a14">
        <xdr:graphicFrame macro="">
          <xdr:nvGraphicFramePr>
            <xdr:cNvPr id="13" name="Absolute">
              <a:extLst>
                <a:ext uri="{FF2B5EF4-FFF2-40B4-BE49-F238E27FC236}">
                  <a16:creationId xmlns:a16="http://schemas.microsoft.com/office/drawing/2014/main" id="{ACF59947-8812-4AAC-9AC3-A087360C9327}"/>
                </a:ext>
              </a:extLst>
            </xdr:cNvPr>
            <xdr:cNvGraphicFramePr/>
          </xdr:nvGraphicFramePr>
          <xdr:xfrm>
            <a:off x="0" y="0"/>
            <a:ext cx="0" cy="0"/>
          </xdr:xfrm>
          <a:graphic>
            <a:graphicData uri="http://schemas.microsoft.com/office/drawing/2010/slicer">
              <sle:slicer xmlns:sle="http://schemas.microsoft.com/office/drawing/2010/slicer" name="Absolute"/>
            </a:graphicData>
          </a:graphic>
        </xdr:graphicFrame>
      </mc:Choice>
      <mc:Fallback>
        <xdr:sp macro="" textlink="">
          <xdr:nvSpPr>
            <xdr:cNvPr id="0" name=""/>
            <xdr:cNvSpPr>
              <a:spLocks noTextEdit="1"/>
            </xdr:cNvSpPr>
          </xdr:nvSpPr>
          <xdr:spPr>
            <a:xfrm>
              <a:off x="447736" y="4907818"/>
              <a:ext cx="1850169" cy="1581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454269</xdr:colOff>
      <xdr:row>18</xdr:row>
      <xdr:rowOff>117231</xdr:rowOff>
    </xdr:from>
    <xdr:to>
      <xdr:col>3</xdr:col>
      <xdr:colOff>571499</xdr:colOff>
      <xdr:row>24</xdr:row>
      <xdr:rowOff>130969</xdr:rowOff>
    </xdr:to>
    <mc:AlternateContent xmlns:mc="http://schemas.openxmlformats.org/markup-compatibility/2006">
      <mc:Choice xmlns:a14="http://schemas.microsoft.com/office/drawing/2010/main" Requires="a14">
        <xdr:graphicFrame macro="">
          <xdr:nvGraphicFramePr>
            <xdr:cNvPr id="14" name="Discount cat">
              <a:extLst>
                <a:ext uri="{FF2B5EF4-FFF2-40B4-BE49-F238E27FC236}">
                  <a16:creationId xmlns:a16="http://schemas.microsoft.com/office/drawing/2014/main" id="{97E77B47-A3D1-4092-9EA2-097D2BBE0A65}"/>
                </a:ext>
              </a:extLst>
            </xdr:cNvPr>
            <xdr:cNvGraphicFramePr/>
          </xdr:nvGraphicFramePr>
          <xdr:xfrm>
            <a:off x="0" y="0"/>
            <a:ext cx="0" cy="0"/>
          </xdr:xfrm>
          <a:graphic>
            <a:graphicData uri="http://schemas.microsoft.com/office/drawing/2010/slicer">
              <sle:slicer xmlns:sle="http://schemas.microsoft.com/office/drawing/2010/slicer" name="Discount cat"/>
            </a:graphicData>
          </a:graphic>
        </xdr:graphicFrame>
      </mc:Choice>
      <mc:Fallback>
        <xdr:sp macro="" textlink="">
          <xdr:nvSpPr>
            <xdr:cNvPr id="0" name=""/>
            <xdr:cNvSpPr>
              <a:spLocks noTextEdit="1"/>
            </xdr:cNvSpPr>
          </xdr:nvSpPr>
          <xdr:spPr>
            <a:xfrm>
              <a:off x="454269" y="3546231"/>
              <a:ext cx="1867449" cy="1156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464344</xdr:colOff>
      <xdr:row>0</xdr:row>
      <xdr:rowOff>119062</xdr:rowOff>
    </xdr:from>
    <xdr:to>
      <xdr:col>3</xdr:col>
      <xdr:colOff>477730</xdr:colOff>
      <xdr:row>17</xdr:row>
      <xdr:rowOff>126999</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305DC139-5E29-4F92-B815-EE42AC6512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64344" y="119062"/>
              <a:ext cx="1763605" cy="3246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556846</xdr:colOff>
      <xdr:row>0</xdr:row>
      <xdr:rowOff>117231</xdr:rowOff>
    </xdr:from>
    <xdr:to>
      <xdr:col>15</xdr:col>
      <xdr:colOff>246916</xdr:colOff>
      <xdr:row>3</xdr:row>
      <xdr:rowOff>35719</xdr:rowOff>
    </xdr:to>
    <xdr:sp macro="" textlink="">
      <xdr:nvSpPr>
        <xdr:cNvPr id="4" name="Rounded Rectangle 4">
          <a:extLst>
            <a:ext uri="{FF2B5EF4-FFF2-40B4-BE49-F238E27FC236}">
              <a16:creationId xmlns:a16="http://schemas.microsoft.com/office/drawing/2014/main" id="{FB3678BE-9D43-4DA3-A287-1E3604991EE2}"/>
            </a:ext>
          </a:extLst>
        </xdr:cNvPr>
        <xdr:cNvSpPr/>
      </xdr:nvSpPr>
      <xdr:spPr>
        <a:xfrm>
          <a:off x="5224096" y="117231"/>
          <a:ext cx="3773914" cy="489988"/>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Jumia dataset review</a:t>
          </a:r>
        </a:p>
      </xdr:txBody>
    </xdr:sp>
    <xdr:clientData/>
  </xdr:twoCellAnchor>
  <xdr:twoCellAnchor>
    <xdr:from>
      <xdr:col>6</xdr:col>
      <xdr:colOff>464344</xdr:colOff>
      <xdr:row>3</xdr:row>
      <xdr:rowOff>175848</xdr:rowOff>
    </xdr:from>
    <xdr:to>
      <xdr:col>10</xdr:col>
      <xdr:colOff>27109</xdr:colOff>
      <xdr:row>6</xdr:row>
      <xdr:rowOff>185373</xdr:rowOff>
    </xdr:to>
    <xdr:sp macro="" textlink="">
      <xdr:nvSpPr>
        <xdr:cNvPr id="5" name="Rounded Rectangle 1">
          <a:extLst>
            <a:ext uri="{FF2B5EF4-FFF2-40B4-BE49-F238E27FC236}">
              <a16:creationId xmlns:a16="http://schemas.microsoft.com/office/drawing/2014/main" id="{0C19160D-0FA4-4CFF-B3E8-B9C34DEB650A}"/>
            </a:ext>
          </a:extLst>
        </xdr:cNvPr>
        <xdr:cNvSpPr/>
      </xdr:nvSpPr>
      <xdr:spPr>
        <a:xfrm>
          <a:off x="3964782" y="747348"/>
          <a:ext cx="1896390" cy="581025"/>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 Number of products</a:t>
          </a:r>
        </a:p>
        <a:p>
          <a:pPr algn="ctr"/>
          <a:r>
            <a:rPr lang="en-US" sz="1100"/>
            <a:t>               112</a:t>
          </a:r>
        </a:p>
      </xdr:txBody>
    </xdr:sp>
    <xdr:clientData/>
  </xdr:twoCellAnchor>
  <xdr:twoCellAnchor>
    <xdr:from>
      <xdr:col>10</xdr:col>
      <xdr:colOff>317987</xdr:colOff>
      <xdr:row>3</xdr:row>
      <xdr:rowOff>175848</xdr:rowOff>
    </xdr:from>
    <xdr:to>
      <xdr:col>12</xdr:col>
      <xdr:colOff>203687</xdr:colOff>
      <xdr:row>6</xdr:row>
      <xdr:rowOff>166323</xdr:rowOff>
    </xdr:to>
    <xdr:sp macro="" textlink="">
      <xdr:nvSpPr>
        <xdr:cNvPr id="6" name="Rounded Rectangle 2">
          <a:extLst>
            <a:ext uri="{FF2B5EF4-FFF2-40B4-BE49-F238E27FC236}">
              <a16:creationId xmlns:a16="http://schemas.microsoft.com/office/drawing/2014/main" id="{341B19E0-34CE-486C-848B-F639A2446E09}"/>
            </a:ext>
          </a:extLst>
        </xdr:cNvPr>
        <xdr:cNvSpPr/>
      </xdr:nvSpPr>
      <xdr:spPr>
        <a:xfrm>
          <a:off x="6179525" y="747348"/>
          <a:ext cx="1058008" cy="561975"/>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Average rating </a:t>
          </a:r>
        </a:p>
        <a:p>
          <a:pPr algn="ctr"/>
          <a:r>
            <a:rPr lang="en-US" sz="1100"/>
            <a:t>       3.9</a:t>
          </a:r>
        </a:p>
      </xdr:txBody>
    </xdr:sp>
    <xdr:clientData/>
  </xdr:twoCellAnchor>
  <xdr:twoCellAnchor>
    <xdr:from>
      <xdr:col>13</xdr:col>
      <xdr:colOff>84258</xdr:colOff>
      <xdr:row>3</xdr:row>
      <xdr:rowOff>185373</xdr:rowOff>
    </xdr:from>
    <xdr:to>
      <xdr:col>15</xdr:col>
      <xdr:colOff>241786</xdr:colOff>
      <xdr:row>6</xdr:row>
      <xdr:rowOff>185373</xdr:rowOff>
    </xdr:to>
    <xdr:sp macro="" textlink="">
      <xdr:nvSpPr>
        <xdr:cNvPr id="10" name="Rounded Rectangle 3">
          <a:extLst>
            <a:ext uri="{FF2B5EF4-FFF2-40B4-BE49-F238E27FC236}">
              <a16:creationId xmlns:a16="http://schemas.microsoft.com/office/drawing/2014/main" id="{73E46978-D2F6-4EB6-B728-DF6B42A79243}"/>
            </a:ext>
          </a:extLst>
        </xdr:cNvPr>
        <xdr:cNvSpPr/>
      </xdr:nvSpPr>
      <xdr:spPr>
        <a:xfrm>
          <a:off x="7704258" y="756873"/>
          <a:ext cx="1329836" cy="571500"/>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Average Discount</a:t>
          </a:r>
        </a:p>
        <a:p>
          <a:pPr algn="ctr"/>
          <a:r>
            <a:rPr lang="en-US" sz="1100"/>
            <a:t>            37%</a:t>
          </a:r>
        </a:p>
      </xdr:txBody>
    </xdr:sp>
    <xdr:clientData/>
  </xdr:twoCellAnchor>
  <xdr:twoCellAnchor>
    <xdr:from>
      <xdr:col>16</xdr:col>
      <xdr:colOff>122356</xdr:colOff>
      <xdr:row>3</xdr:row>
      <xdr:rowOff>175847</xdr:rowOff>
    </xdr:from>
    <xdr:to>
      <xdr:col>18</xdr:col>
      <xdr:colOff>337037</xdr:colOff>
      <xdr:row>6</xdr:row>
      <xdr:rowOff>147272</xdr:rowOff>
    </xdr:to>
    <xdr:sp macro="" textlink="">
      <xdr:nvSpPr>
        <xdr:cNvPr id="16" name="Rounded Rectangle 5">
          <a:extLst>
            <a:ext uri="{FF2B5EF4-FFF2-40B4-BE49-F238E27FC236}">
              <a16:creationId xmlns:a16="http://schemas.microsoft.com/office/drawing/2014/main" id="{54D475BE-B81D-4086-97F3-B519057AC89F}"/>
            </a:ext>
          </a:extLst>
        </xdr:cNvPr>
        <xdr:cNvSpPr/>
      </xdr:nvSpPr>
      <xdr:spPr>
        <a:xfrm>
          <a:off x="9500818" y="747347"/>
          <a:ext cx="1386988" cy="542925"/>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100" baseline="0"/>
            <a:t>    </a:t>
          </a:r>
          <a:r>
            <a:rPr lang="en-US" sz="1100"/>
            <a:t>Total reviews </a:t>
          </a:r>
          <a:r>
            <a:rPr lang="en-US" sz="1100" baseline="0"/>
            <a:t> </a:t>
          </a:r>
        </a:p>
        <a:p>
          <a:pPr algn="ctr"/>
          <a:r>
            <a:rPr lang="en-US" sz="1100" baseline="0"/>
            <a:t>              723</a:t>
          </a:r>
        </a:p>
        <a:p>
          <a:pPr algn="ctr"/>
          <a:endParaRPr lang="en-US" sz="1100"/>
        </a:p>
        <a:p>
          <a:pPr algn="ctr"/>
          <a:endParaRPr lang="en-US" sz="1100"/>
        </a:p>
      </xdr:txBody>
    </xdr:sp>
    <xdr:clientData/>
  </xdr:twoCellAnchor>
  <xdr:twoCellAnchor>
    <xdr:from>
      <xdr:col>8</xdr:col>
      <xdr:colOff>29308</xdr:colOff>
      <xdr:row>25</xdr:row>
      <xdr:rowOff>43961</xdr:rowOff>
    </xdr:from>
    <xdr:to>
      <xdr:col>15</xdr:col>
      <xdr:colOff>498231</xdr:colOff>
      <xdr:row>39</xdr:row>
      <xdr:rowOff>120161</xdr:rowOff>
    </xdr:to>
    <xdr:graphicFrame macro="">
      <xdr:nvGraphicFramePr>
        <xdr:cNvPr id="17" name="Chart 16">
          <a:extLst>
            <a:ext uri="{FF2B5EF4-FFF2-40B4-BE49-F238E27FC236}">
              <a16:creationId xmlns:a16="http://schemas.microsoft.com/office/drawing/2014/main" id="{BB324AC2-5F4E-4D93-8879-ED184FDFF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381915</xdr:colOff>
      <xdr:row>43</xdr:row>
      <xdr:rowOff>23813</xdr:rowOff>
    </xdr:from>
    <xdr:to>
      <xdr:col>18</xdr:col>
      <xdr:colOff>115214</xdr:colOff>
      <xdr:row>54</xdr:row>
      <xdr:rowOff>109538</xdr:rowOff>
    </xdr:to>
    <xdr:sp macro="" textlink="">
      <xdr:nvSpPr>
        <xdr:cNvPr id="18" name="Rounded Rectangle 13">
          <a:extLst>
            <a:ext uri="{FF2B5EF4-FFF2-40B4-BE49-F238E27FC236}">
              <a16:creationId xmlns:a16="http://schemas.microsoft.com/office/drawing/2014/main" id="{374C29F7-95B7-435D-943E-30D9802A0751}"/>
            </a:ext>
          </a:extLst>
        </xdr:cNvPr>
        <xdr:cNvSpPr/>
      </xdr:nvSpPr>
      <xdr:spPr>
        <a:xfrm>
          <a:off x="2715540" y="8215313"/>
          <a:ext cx="7900987" cy="2181225"/>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Calibri" panose="020F0502020204030204" pitchFamily="34" charset="0"/>
              <a:ea typeface="Calibri" panose="020F0502020204030204" pitchFamily="34" charset="0"/>
              <a:cs typeface="Calibri" panose="020F0502020204030204" pitchFamily="34" charset="0"/>
            </a:rPr>
            <a:t>                                                               Insights</a:t>
          </a:r>
        </a:p>
        <a:p>
          <a:pPr algn="l"/>
          <a:r>
            <a:rPr lang="en-US" sz="1600" b="0"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 Discount vs Reviews correlation: -0.137 — Higher discounts do not drive more reviews.</a:t>
          </a:r>
          <a:r>
            <a:rPr lang="en-US" sz="1600">
              <a:effectLst/>
              <a:latin typeface="Calibri" panose="020F0502020204030204" pitchFamily="34" charset="0"/>
              <a:ea typeface="Calibri" panose="020F0502020204030204" pitchFamily="34" charset="0"/>
              <a:cs typeface="Calibri" panose="020F0502020204030204" pitchFamily="34" charset="0"/>
            </a:rPr>
            <a:t> </a:t>
          </a:r>
        </a:p>
        <a:p>
          <a:pPr algn="l"/>
          <a:r>
            <a:rPr lang="en-US" sz="1600" b="0"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 Rating vs Reviews correlation: 0.057 — Higher-rated products tend to get more reviews.</a:t>
          </a:r>
          <a:r>
            <a:rPr lang="en-US" sz="1600">
              <a:effectLst/>
              <a:latin typeface="Calibri" panose="020F0502020204030204" pitchFamily="34" charset="0"/>
              <a:ea typeface="Calibri" panose="020F0502020204030204" pitchFamily="34" charset="0"/>
              <a:cs typeface="Calibri" panose="020F0502020204030204" pitchFamily="34" charset="0"/>
            </a:rPr>
            <a:t> </a:t>
          </a:r>
        </a:p>
        <a:p>
          <a:pPr algn="l"/>
          <a:r>
            <a:rPr lang="en-US" sz="1600" b="0"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 Most expensive product: 32PCS Portable Cordless Drill Set With Cyclic Battery Drive  at KSh 3,750</a:t>
          </a:r>
          <a:r>
            <a:rPr lang="en-US" sz="1600">
              <a:effectLst/>
              <a:latin typeface="Calibri" panose="020F0502020204030204" pitchFamily="34" charset="0"/>
              <a:ea typeface="Calibri" panose="020F0502020204030204" pitchFamily="34" charset="0"/>
              <a:cs typeface="Calibri" panose="020F0502020204030204" pitchFamily="34" charset="0"/>
            </a:rPr>
            <a:t> </a:t>
          </a:r>
        </a:p>
        <a:p>
          <a:pPr algn="l"/>
          <a:r>
            <a:rPr lang="en-US" sz="1600" b="0"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 Least expensive product: 3PCS Single Head Knitting Crochet Sweater Needle Set at KSh 38</a:t>
          </a:r>
          <a:r>
            <a:rPr lang="en-US" sz="1600">
              <a:effectLst/>
              <a:latin typeface="Calibri" panose="020F0502020204030204" pitchFamily="34" charset="0"/>
              <a:ea typeface="Calibri" panose="020F0502020204030204" pitchFamily="34" charset="0"/>
              <a:cs typeface="Calibri" panose="020F0502020204030204" pitchFamily="34" charset="0"/>
            </a:rPr>
            <a:t> </a:t>
          </a:r>
        </a:p>
        <a:p>
          <a:pPr algn="l"/>
          <a:r>
            <a:rPr lang="en-US" sz="1600" b="0" i="0" u="none" strike="noStrike">
              <a:solidFill>
                <a:schemeClr val="lt1"/>
              </a:solidFill>
              <a:effectLst/>
              <a:latin typeface="Calibri" panose="020F0502020204030204" pitchFamily="34" charset="0"/>
              <a:ea typeface="Calibri" panose="020F0502020204030204" pitchFamily="34" charset="0"/>
              <a:cs typeface="Calibri" panose="020F0502020204030204" pitchFamily="34" charset="0"/>
            </a:rPr>
            <a:t>• Products with High Discount avg rating: 3.61 vs Low Discount: 3.72</a:t>
          </a:r>
          <a:r>
            <a:rPr lang="en-US" sz="1600">
              <a:effectLst/>
              <a:latin typeface="Calibri" panose="020F0502020204030204" pitchFamily="34" charset="0"/>
              <a:ea typeface="Calibri" panose="020F0502020204030204" pitchFamily="34" charset="0"/>
              <a:cs typeface="Calibri" panose="020F0502020204030204" pitchFamily="34" charset="0"/>
            </a:rPr>
            <a:t> </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pe Kemama" refreshedDate="46185.54885983796" createdVersion="8" refreshedVersion="8" minRefreshableVersion="3" recordCount="106" xr:uid="{F2BB72B2-84EF-4BE0-9613-80A0A079424B}">
  <cacheSource type="worksheet">
    <worksheetSource ref="A1:O1048576" sheet="Cleaning "/>
  </cacheSource>
  <cacheFields count="15">
    <cacheField name="Product" numFmtId="0">
      <sharedItems containsBlank="1" count="105">
        <s v="Wall-mounted Sticker Punch-free Plug Fixer"/>
        <s v="Bedroom Simple Floor Hanging Clothes Rack Single Pole Hat Rack - White"/>
        <s v="Household Pineapple Peeler Peeler"/>
        <s v="Memory Foam Neck Pillow Cover, With Pillow Core - 50*30cm"/>
        <s v="DIY File Folder, Office Drawer File Holder, Pen Holder, Desktop Storage Rack"/>
        <s v="Konka Healty Electric Kettle, 24-hour Heat Preservation,1.5L,800W, White"/>
        <s v="Classic Black Cat Cotton Hemp Pillow Case For Home Car"/>
        <s v="Anti-Skid Absorbent Insulation Coaster  For Home Office"/>
        <s v="Peacock  Throw Pillow Cushion Case For Home Car"/>
        <s v="115  Piece Set Of Multifunctional Precision Screwdrivers"/>
        <s v="1/2/3 Seater Elastic Sofa Cover,Living Room/Home Decor Chair Cover-Grey"/>
        <s v="Desk Foldable Fan Adjustable Fan Strong Wind 3 Gear Usb"/>
        <s v="LASA Aluminum Folding Truck Hand Cart - 68kg Max"/>
        <s v="LASA FOLDING TABLE SERVING STAND"/>
        <s v="13 In 1 Home Repair Tools Box Kit Set"/>
        <s v="Wrought Iron Bathroom Shelf Wall Mounted Free Punch Toilet Rack"/>
        <s v="32PCS Portable Cordless Drill Set With Cyclic Battery Drive -26 Variable Speed"/>
        <s v="Large Lazy Inflatable Sofa Chairs PVC Lounger Seat Bag"/>
        <s v="Portable Home Small Air Humidifier 3-Speed Fan - Green"/>
        <s v="LED Wall Digital Alarm Clock Study Home 12 / 24H Clock Calendar"/>
        <s v="7-piece Set Of Storage Bags, Travel Storage Bags, Shoe Bags"/>
        <s v="Artificial Potted Flowers Room Decorative Flowers (2 Pieces)"/>
        <s v="Watercolour Gold Foil Textured Print Pillow Cover"/>
        <s v="LASA Digital Thermometer And Hydrometer"/>
        <s v="LED Romantic Spaceship Starry Sky Projector,Children's Bedroom Night Light-Blue"/>
        <s v="5 Pieces/set Of Stainless Steel Induction Cooker Pots"/>
        <s v="LASA 3 Tier Bamboo Shoe Bench Storage Shelf"/>
        <s v="380ML USB Rechargeable Portable Small Blenders And Juicers"/>
        <s v="Electric LED UV Mosquito Killer Lamp, Outdoor/Indoor Fly Killer Trap Light -USB"/>
        <s v="Weighing Scale Digital Bathroom Body Fat Scale USB-Black"/>
        <s v="Exfoliate And Exfoliate Face Towel - Black"/>
        <s v="LED Eye Protection  Desk Lamp , Study, Reading, USB Fan - Double Pen Holder"/>
        <s v="Multifunction Laser Level With Adjustment Tripod"/>
        <s v="Mythco 120COB Solar Wall Ligt With Motion Sensor And Remote Control 3 Modes"/>
        <s v="40cm Gold DIY Acrylic Wall Sticker Clock"/>
        <s v="12 Litre Insulated Lunch Box Grey"/>
        <s v="Genebre 115 In 1 Screwdriver Repairing Tool Set For IPhone Cellphone Hand Tool"/>
        <s v="Portable Wardrobe Nonwoven With 3 Hanging Rods And 6 Storage Shelves"/>
        <s v="5-PCS Stainless Steel Cooking Pot Set With Steamed Slices"/>
        <s v="3PCS Single Head Knitting Crochet Sweater Needle Set"/>
        <s v="12 Litre Black Insulated Lunch Box"/>
        <s v="Metal Decorative Hooks Key Hangers Entryway Wall Hooks Towel Hooks - Home"/>
        <s v="Foldable Overbed Table/Desk"/>
        <s v="Intelligent  LED Body Sensor Wireless Lighting Night Light USB"/>
        <s v="220V 60W Electric Soldering Iron Kits With Tools, Tips, And Multimeter"/>
        <s v="VIC Wireless Vacuum Cleaner Dual Use For Home And Car 120W High Power Powerful"/>
        <s v="Agapeon Toothbrush Holder And Toothpaste Dispenser"/>
        <s v="52 Pieces Cake Decorating Tool Set Gift Kit Baking Supplies"/>
        <s v="53Pcs/Set Yarn Knitting Crochet Hooks With Bag - Fortune Cat"/>
        <s v="Portable Mini Cordless Car Vacuum Cleaner - Blue"/>
        <s v="53 Pieces/Set Yarn Knitting Crochet Hooks With Bag - Pansies"/>
        <s v="Punch-free Great Load Bearing Bathroom Storage Rack Wall Shelf-White"/>
        <s v="100 Pcs Crochet Hook Tool Set Knitting Hook Set With Box"/>
        <s v="3D Waterproof EVA Plastic Shower Curtain 1.8*2Mtrs"/>
        <s v="Electronic Digital Display Vernier Caliper"/>
        <s v="137 Pieces Cake Decorating Tool Set Baking Supplies"/>
        <s v="120W Cordless Vacuum Cleaners Handheld Electric Vacuum Cleaner"/>
        <s v="6 In 1 Bottle Can Opener Multifunctional Easy Opener"/>
        <s v="Modern Sofa Throw Pillow Cover-45x45cm-Blue&amp;Red"/>
        <s v="Christmas Elk Fence Yard Lawn Decorations Cute For Holidays"/>
        <s v="Brush &amp; Paintbrush Cleaning Tool Pink"/>
        <s v="Wall Clock With Hidden Safe Box"/>
        <s v="2PCS Ice Silk Square Cushion Cover Pillowcases - 65x65cm"/>
        <s v="4M Float Switch Water Level Controller -Water Tank"/>
        <s v="Car Phone Charging Stand"/>
        <s v="7PCS Silicone Thumb Knife Finger Protector Vegetable Harvesting Knife"/>
        <s v="Cartoon Car Decoration Cute Individuality For Car Home Desk"/>
        <s v="4 Piece Coloured Stainless Steel Kitchenware Set"/>
        <s v="Baby Early Education Shape And Color Cognitive Training Toys"/>
        <s v="Christmas Fence Garden Decorations Outdoor For Holiday Home"/>
        <s v="Portable Wine Table With Folding Round Table"/>
        <s v="Sewing Machine Needle Threader Stitch Insertion Tool Automatic Quick Sewing"/>
        <s v="2PCS/LOT Solar LED Outdoor Intelligent Light Controlled Wall Lamp"/>
        <s v="Black Simple Water Cup Wine Coaster Anti Slip Absorbent"/>
        <s v="MultiFunctional Storage Rack Multi-layer Booelf"/>
        <s v="3PCS Rotary Scraper Thermomix For Kitchen"/>
        <s v="Multifunctional Hanging Storage Box Storage Bag (4 Layers)"/>
        <s v="4pcs Bathroom/Kitchen Towel Rack,Roll Paper Holder,Towel Bars,Hook"/>
        <s v="8in1 Screwdriver With LED Light"/>
        <s v="Cute Christmas Fence Garden Decorations For Holiday Home"/>
        <s v="9pcs Gas Mask, For Painting, Dust, Formaldehyde Grinding, Polishing"/>
        <s v="LASA Stainless Steel Double Wall Mount Soap Dispenser - 500ml"/>
        <s v="2pcs Solar Street Light Flood Light Outdoor"/>
        <s v="5m Waterproof Spherical LED String Lights Outdoor Ball Chain Lights Party Lighting Decoration Adjustable"/>
        <s v="LED Solar Street Light-fake Camera"/>
        <s v="Cartoon Embroidered Mini Towel Bear Cotton Wash Cloth Hand 4pcs"/>
        <s v="60W Hot Melt Glue Sprayer - Efficient And Stable Glue Dispensing"/>
        <s v="12V 19500rpm Handheld Electric Angle Grinder Tool - UK - Yellow/Black"/>
        <s v="1PC Refrigerator Food Seal Pocket Fridge Bags"/>
        <s v="Pilates Cloth Bag Waterproof Durable High Capacity Purple"/>
        <s v="Office Chair Lumbar Back Support Spine Posture Correction Pillow Car Cushion"/>
        <s v="Wall-Mounted Toothbrush Toothpaste Holder With Multiple Slots"/>
        <s v="Outdoor Portable Water Bottle With Medicine Box - 600ML - Black"/>
        <s v="Wall Mount Automatic Toothpaste Dispenser Toothbrush Holder Toothpaste Squeezer"/>
        <s v="Cushion Silicone Butt Cushion Summer Ice Cushion Honeycomb Gel Cushion"/>
        <s v="Metal Wall Clock Silver Dial Crystal Jewelry Round Home Decoration Wall Clock"/>
        <s v="Multi-purpose Rice Drainage Basket And Fruit And Vegetable Drainage Sieve"/>
        <s v="Shower Cap Wide Elastic Band Cover Reusable Bashroom Cap"/>
        <s v="Pen Grips For Kids Pen Grip Posture Correction Tool For Kids"/>
        <s v="2 Pairs Cowhide Split Leather Work Gloves.32â„‰ Or Above Welding Gloves"/>
        <s v="Portable Soap Dispenser Kitchen Detergent Press Box Kitchen Tools"/>
        <s v="Shower Nozzle Cleaning Unclogging Needle Mini Crevice Small Hole Cleaning Brush"/>
        <s v="Thickening Multipurpose Non Stick Easy To Clean Heat Resistant Spoon Pad"/>
        <s v="24 Grid Wall-mounted Sundries Organiser Fabric Closet Bag Storage Rack"/>
        <m/>
      </sharedItems>
    </cacheField>
    <cacheField name="Current price" numFmtId="1">
      <sharedItems containsString="0" containsBlank="1" containsNumber="1" containsInteger="1" minValue="38" maxValue="3750"/>
    </cacheField>
    <cacheField name="old price" numFmtId="1">
      <sharedItems containsString="0" containsBlank="1" containsNumber="1" containsInteger="1" minValue="80" maxValue="6143"/>
    </cacheField>
    <cacheField name="Discount" numFmtId="0">
      <sharedItems containsString="0" containsBlank="1" containsNumber="1" minValue="0.01" maxValue="0.64"/>
    </cacheField>
    <cacheField name="Review" numFmtId="0">
      <sharedItems containsString="0" containsBlank="1" containsNumber="1" containsInteger="1" minValue="-69" maxValue="-1"/>
    </cacheField>
    <cacheField name="Ratings" numFmtId="0">
      <sharedItems containsString="0" containsBlank="1" containsNumber="1" minValue="2" maxValue="5"/>
    </cacheField>
    <cacheField name="Field7" caption="Field7" numFmtId="0">
      <sharedItems containsNonDate="0" containsString="0" containsBlank="1"/>
    </cacheField>
    <cacheField name="Field8" caption="Field8" numFmtId="0">
      <sharedItems containsString="0" containsBlank="1" containsNumber="1" containsInteger="1" minValue="1800" maxValue="2700"/>
    </cacheField>
    <cacheField name="Discount Number" numFmtId="0">
      <sharedItems containsString="0" containsBlank="1" containsNumber="1" containsInteger="1" minValue="24" maxValue="2585"/>
    </cacheField>
    <cacheField name="Rating cat" numFmtId="0">
      <sharedItems containsBlank="1" count="4">
        <s v="Poor"/>
        <s v="Excellent"/>
        <s v="Average"/>
        <m/>
      </sharedItems>
    </cacheField>
    <cacheField name="Discount cat" numFmtId="0">
      <sharedItems containsBlank="1" count="4">
        <s v="High Discount"/>
        <s v="Medium Discount"/>
        <s v="Low Discount"/>
        <m/>
      </sharedItems>
    </cacheField>
    <cacheField name="Avg current price" numFmtId="0">
      <sharedItems containsBlank="1" containsMixedTypes="1" containsNumber="1" minValue="0.32514079670329671" maxValue="3750"/>
    </cacheField>
    <cacheField name="Field13" caption="Field13" numFmtId="0">
      <sharedItems containsBlank="1" containsMixedTypes="1" containsNumber="1" minValue="-1" maxValue="0.13682272428088291"/>
    </cacheField>
    <cacheField name="Field14" caption="Field14" numFmtId="0">
      <sharedItems containsBlank="1" containsMixedTypes="1" containsNumber="1" minValue="-0.27580399643094555" maxValue="1"/>
    </cacheField>
    <cacheField name="Absolute" numFmtId="0">
      <sharedItems containsString="0" containsBlank="1" containsNumber="1" containsInteger="1" minValue="0" maxValue="723" count="26">
        <n v="1"/>
        <n v="2"/>
        <n v="3"/>
        <n v="5"/>
        <n v="6"/>
        <n v="7"/>
        <n v="9"/>
        <n v="10"/>
        <n v="12"/>
        <n v="13"/>
        <n v="14"/>
        <n v="15"/>
        <n v="16"/>
        <n v="17"/>
        <n v="20"/>
        <n v="24"/>
        <n v="32"/>
        <n v="36"/>
        <n v="39"/>
        <n v="44"/>
        <n v="49"/>
        <n v="55"/>
        <n v="69"/>
        <n v="0"/>
        <n v="723"/>
        <m/>
      </sharedItems>
    </cacheField>
  </cacheFields>
  <extLst>
    <ext xmlns:x14="http://schemas.microsoft.com/office/spreadsheetml/2009/9/main" uri="{725AE2AE-9491-48be-B2B4-4EB974FC3084}">
      <x14:pivotCacheDefinition pivotCacheId="854510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x v="0"/>
    <n v="450"/>
    <n v="900"/>
    <n v="0.5"/>
    <n v="-1"/>
    <n v="2"/>
    <m/>
    <m/>
    <n v="450"/>
    <x v="0"/>
    <x v="0"/>
    <m/>
    <n v="0.13682272428088291"/>
    <n v="-5.7209035119876434E-2"/>
    <x v="0"/>
  </r>
  <r>
    <x v="1"/>
    <n v="979"/>
    <n v="1920"/>
    <n v="0.49"/>
    <n v="-1"/>
    <n v="5"/>
    <m/>
    <m/>
    <n v="941"/>
    <x v="1"/>
    <x v="0"/>
    <m/>
    <n v="0.12495651634820983"/>
    <n v="-2.9292873699733928E-2"/>
    <x v="0"/>
  </r>
  <r>
    <x v="2"/>
    <n v="330"/>
    <n v="647"/>
    <n v="0.49"/>
    <n v="-1"/>
    <n v="4"/>
    <m/>
    <m/>
    <n v="317"/>
    <x v="2"/>
    <x v="0"/>
    <m/>
    <n v="0.11343635056637624"/>
    <n v="-4.7838219099509402E-2"/>
    <x v="0"/>
  </r>
  <r>
    <x v="3"/>
    <n v="1189"/>
    <n v="2199"/>
    <n v="0.46"/>
    <n v="-1"/>
    <n v="3"/>
    <m/>
    <m/>
    <n v="1010"/>
    <x v="2"/>
    <x v="0"/>
    <m/>
    <n v="0.10116448327619258"/>
    <n v="-4.9812289174280773E-2"/>
    <x v="0"/>
  </r>
  <r>
    <x v="4"/>
    <n v="1620"/>
    <n v="2690"/>
    <n v="0.4"/>
    <n v="-1"/>
    <n v="5"/>
    <m/>
    <m/>
    <n v="1070"/>
    <x v="1"/>
    <x v="1"/>
    <m/>
    <n v="9.1849328764036148E-2"/>
    <n v="-3.4622591101166035E-2"/>
    <x v="0"/>
  </r>
  <r>
    <x v="5"/>
    <n v="3640"/>
    <n v="4588"/>
    <n v="0.21"/>
    <n v="-1"/>
    <n v="5"/>
    <m/>
    <m/>
    <n v="948"/>
    <x v="1"/>
    <x v="1"/>
    <m/>
    <n v="9.0080212962181147E-2"/>
    <n v="-5.529087345577393E-2"/>
    <x v="0"/>
  </r>
  <r>
    <x v="6"/>
    <n v="171"/>
    <n v="360"/>
    <n v="0.53"/>
    <n v="-2"/>
    <n v="5"/>
    <m/>
    <m/>
    <n v="189"/>
    <x v="1"/>
    <x v="0"/>
    <m/>
    <n v="0.11799239995668272"/>
    <n v="-7.7704670267562254E-2"/>
    <x v="1"/>
  </r>
  <r>
    <x v="7"/>
    <n v="332"/>
    <n v="684"/>
    <n v="0.51"/>
    <n v="-2"/>
    <n v="5"/>
    <m/>
    <m/>
    <n v="352"/>
    <x v="1"/>
    <x v="0"/>
    <s v="Least expensive"/>
    <n v="0.10008352560122966"/>
    <n v="-0.10024861579546532"/>
    <x v="1"/>
  </r>
  <r>
    <x v="8"/>
    <n v="195"/>
    <n v="360"/>
    <n v="0.46"/>
    <n v="-2"/>
    <n v="5"/>
    <m/>
    <m/>
    <n v="165"/>
    <x v="1"/>
    <x v="0"/>
    <n v="38"/>
    <n v="8.3220666512481764E-2"/>
    <n v="-0.12481966702831562"/>
    <x v="1"/>
  </r>
  <r>
    <x v="9"/>
    <n v="950"/>
    <n v="1525"/>
    <n v="0.38"/>
    <n v="-2"/>
    <n v="4.5"/>
    <m/>
    <m/>
    <n v="575"/>
    <x v="1"/>
    <x v="1"/>
    <n v="1260.9263157894736"/>
    <n v="7.2068486164504758E-2"/>
    <n v="-0.1517108168841507"/>
    <x v="1"/>
  </r>
  <r>
    <x v="10"/>
    <n v="1800"/>
    <n v="2700"/>
    <n v="0.38"/>
    <n v="-2"/>
    <n v="4.5"/>
    <m/>
    <m/>
    <n v="900"/>
    <x v="1"/>
    <x v="1"/>
    <m/>
    <n v="7.2404851642268855E-2"/>
    <n v="-0.16850324869894168"/>
    <x v="1"/>
  </r>
  <r>
    <x v="11"/>
    <n v="988"/>
    <n v="1580"/>
    <n v="0.37"/>
    <n v="-2"/>
    <n v="4"/>
    <m/>
    <m/>
    <n v="592"/>
    <x v="2"/>
    <x v="1"/>
    <m/>
    <n v="7.2767277812492148E-2"/>
    <n v="-0.18656089338485896"/>
    <x v="1"/>
  </r>
  <r>
    <x v="12"/>
    <n v="2025"/>
    <n v="3971"/>
    <n v="0.49"/>
    <n v="-3"/>
    <n v="5"/>
    <m/>
    <m/>
    <n v="1946"/>
    <x v="1"/>
    <x v="0"/>
    <m/>
    <n v="7.48325870747827E-2"/>
    <n v="-0.19347173697255846"/>
    <x v="2"/>
  </r>
  <r>
    <x v="13"/>
    <n v="1274"/>
    <n v="2800"/>
    <n v="0.55000000000000004"/>
    <n v="-5"/>
    <n v="4.8"/>
    <m/>
    <m/>
    <n v="1526"/>
    <x v="1"/>
    <x v="0"/>
    <s v="Avg rating"/>
    <n v="5.8200417434409082E-2"/>
    <n v="-0.22618876730178766"/>
    <x v="3"/>
  </r>
  <r>
    <x v="14"/>
    <n v="1600"/>
    <n v="2929"/>
    <n v="0.45"/>
    <n v="-5"/>
    <n v="3.8"/>
    <m/>
    <m/>
    <n v="1329"/>
    <x v="2"/>
    <x v="0"/>
    <n v="3.897914597815292"/>
    <n v="3.4953024433438264E-2"/>
    <n v="-0.25183518453352066"/>
    <x v="3"/>
  </r>
  <r>
    <x v="15"/>
    <n v="509"/>
    <n v="899"/>
    <n v="0.43"/>
    <n v="-5"/>
    <n v="3"/>
    <m/>
    <m/>
    <n v="390"/>
    <x v="2"/>
    <x v="0"/>
    <m/>
    <n v="2.373497981099602E-2"/>
    <n v="-0.25522736408421459"/>
    <x v="3"/>
  </r>
  <r>
    <x v="16"/>
    <n v="3750"/>
    <n v="6143"/>
    <n v="0.39"/>
    <n v="-5"/>
    <n v="3"/>
    <m/>
    <m/>
    <n v="2393"/>
    <x v="2"/>
    <x v="1"/>
    <m/>
    <n v="1.4736050551879824E-2"/>
    <n v="-0.24411497044314942"/>
    <x v="3"/>
  </r>
  <r>
    <x v="17"/>
    <n v="2300"/>
    <n v="3240"/>
    <n v="0.28999999999999998"/>
    <n v="-5"/>
    <n v="3"/>
    <m/>
    <m/>
    <n v="940"/>
    <x v="2"/>
    <x v="1"/>
    <m/>
    <n v="1.1440257172178432E-2"/>
    <n v="-0.23208435852464754"/>
    <x v="3"/>
  </r>
  <r>
    <x v="18"/>
    <n v="1740"/>
    <n v="2356"/>
    <n v="0.26"/>
    <n v="-5"/>
    <n v="4.8"/>
    <m/>
    <m/>
    <n v="616"/>
    <x v="1"/>
    <x v="1"/>
    <m/>
    <n v="2.4497907112653417E-2"/>
    <n v="-0.21901681340581447"/>
    <x v="3"/>
  </r>
  <r>
    <x v="19"/>
    <n v="2999"/>
    <n v="3699"/>
    <n v="0.19"/>
    <n v="-5"/>
    <n v="4.5999999999999996"/>
    <m/>
    <m/>
    <n v="700"/>
    <x v="1"/>
    <x v="2"/>
    <s v="Avg discount %"/>
    <n v="4.3999130660823636E-2"/>
    <n v="-0.24910085370574195"/>
    <x v="3"/>
  </r>
  <r>
    <x v="20"/>
    <n v="968"/>
    <n v="1814"/>
    <n v="0.47"/>
    <n v="-6"/>
    <n v="2.2000000000000002"/>
    <m/>
    <m/>
    <n v="846"/>
    <x v="0"/>
    <x v="0"/>
    <m/>
    <n v="7.9482575532370162E-2"/>
    <n v="-0.27580399643094555"/>
    <x v="4"/>
  </r>
  <r>
    <x v="21"/>
    <n v="990"/>
    <n v="1814"/>
    <n v="0.45"/>
    <n v="-6"/>
    <n v="2.2000000000000002"/>
    <m/>
    <m/>
    <n v="824"/>
    <x v="0"/>
    <x v="0"/>
    <m/>
    <n v="6.4378254059815884E-2"/>
    <n v="-0.25143418929476713"/>
    <x v="4"/>
  </r>
  <r>
    <x v="22"/>
    <n v="345"/>
    <n v="602"/>
    <n v="0.43"/>
    <n v="-6"/>
    <n v="2.2999999999999998"/>
    <m/>
    <m/>
    <n v="257"/>
    <x v="0"/>
    <x v="0"/>
    <m/>
    <n v="5.1430557678520249E-2"/>
    <n v="-0.22320371731491048"/>
    <x v="4"/>
  </r>
  <r>
    <x v="23"/>
    <n v="501"/>
    <n v="860"/>
    <n v="0.42"/>
    <n v="-6"/>
    <n v="4.5"/>
    <m/>
    <m/>
    <n v="359"/>
    <x v="1"/>
    <x v="0"/>
    <n v="3750"/>
    <n v="4.1089777181421774E-2"/>
    <n v="-0.19168095287298406"/>
    <x v="4"/>
  </r>
  <r>
    <x v="24"/>
    <n v="880"/>
    <n v="1350"/>
    <n v="0.35"/>
    <n v="-6"/>
    <n v="4"/>
    <m/>
    <m/>
    <n v="470"/>
    <x v="2"/>
    <x v="1"/>
    <m/>
    <n v="3.1815282844541083E-2"/>
    <n v="-0.21550092290296394"/>
    <x v="4"/>
  </r>
  <r>
    <x v="25"/>
    <n v="2170"/>
    <n v="2500"/>
    <n v="0.13"/>
    <n v="-6"/>
    <n v="2.5"/>
    <m/>
    <m/>
    <n v="330"/>
    <x v="0"/>
    <x v="2"/>
    <m/>
    <n v="3.6437857158510042E-2"/>
    <n v="-0.22360834195290605"/>
    <x v="4"/>
  </r>
  <r>
    <x v="26"/>
    <n v="2048"/>
    <n v="4500"/>
    <n v="0.54"/>
    <n v="-7"/>
    <n v="4.3"/>
    <m/>
    <m/>
    <n v="2452"/>
    <x v="2"/>
    <x v="0"/>
    <m/>
    <n v="9.530422184754056E-2"/>
    <n v="-0.18905675190499829"/>
    <x v="5"/>
  </r>
  <r>
    <x v="27"/>
    <n v="1000"/>
    <n v="2000"/>
    <n v="0.5"/>
    <n v="-7"/>
    <n v="2.2999999999999998"/>
    <m/>
    <m/>
    <n v="1000"/>
    <x v="0"/>
    <x v="0"/>
    <m/>
    <n v="6.1393993448085986E-2"/>
    <n v="-0.20694332205604501"/>
    <x v="5"/>
  </r>
  <r>
    <x v="28"/>
    <n v="1570"/>
    <n v="2988"/>
    <n v="0.47"/>
    <n v="-7"/>
    <n v="2.1"/>
    <m/>
    <m/>
    <n v="1418"/>
    <x v="0"/>
    <x v="0"/>
    <m/>
    <n v="3.1643830474759299E-2"/>
    <n v="-0.16336578929241238"/>
    <x v="5"/>
  </r>
  <r>
    <x v="29"/>
    <n v="1580"/>
    <n v="2499"/>
    <n v="0.37"/>
    <n v="-7"/>
    <n v="4.7"/>
    <m/>
    <m/>
    <n v="919"/>
    <x v="1"/>
    <x v="1"/>
    <n v="1787.8846153846155"/>
    <n v="5.5699323226226531E-3"/>
    <n v="-0.10248076306562962"/>
    <x v="5"/>
  </r>
  <r>
    <x v="30"/>
    <n v="185"/>
    <n v="382"/>
    <n v="0.52"/>
    <n v="-9"/>
    <n v="4.3"/>
    <m/>
    <m/>
    <n v="197"/>
    <x v="2"/>
    <x v="0"/>
    <m/>
    <n v="4.263032967023489E-3"/>
    <n v="-0.14030000138712415"/>
    <x v="6"/>
  </r>
  <r>
    <x v="31"/>
    <n v="1820"/>
    <n v="3490"/>
    <n v="0.48"/>
    <n v="-9"/>
    <n v="4.3"/>
    <m/>
    <m/>
    <n v="1670"/>
    <x v="2"/>
    <x v="0"/>
    <m/>
    <n v="-3.6521559910268599E-2"/>
    <n v="-0.15817191200707839"/>
    <x v="6"/>
  </r>
  <r>
    <x v="32"/>
    <n v="1680"/>
    <n v="2499"/>
    <n v="0.33"/>
    <n v="-9"/>
    <n v="4.2"/>
    <m/>
    <m/>
    <n v="819"/>
    <x v="2"/>
    <x v="1"/>
    <m/>
    <n v="-7.2196854297123414E-2"/>
    <n v="-0.17824277879089442"/>
    <x v="6"/>
  </r>
  <r>
    <x v="33"/>
    <n v="458"/>
    <n v="986"/>
    <n v="0.54"/>
    <n v="-10"/>
    <n v="3"/>
    <m/>
    <m/>
    <n v="528"/>
    <x v="2"/>
    <x v="0"/>
    <m/>
    <n v="-6.6289398941068042E-2"/>
    <n v="-0.19559743954736153"/>
    <x v="7"/>
  </r>
  <r>
    <x v="34"/>
    <n v="552"/>
    <n v="1035"/>
    <n v="0.47"/>
    <n v="-12"/>
    <n v="4.8"/>
    <m/>
    <m/>
    <n v="483"/>
    <x v="1"/>
    <x v="0"/>
    <s v="Most expensive"/>
    <n v="-0.12841773337264228"/>
    <n v="-0.15934884939615401"/>
    <x v="8"/>
  </r>
  <r>
    <x v="35"/>
    <n v="980"/>
    <n v="1490"/>
    <n v="0.34"/>
    <n v="-12"/>
    <n v="4.7"/>
    <m/>
    <m/>
    <n v="510"/>
    <x v="1"/>
    <x v="1"/>
    <m/>
    <n v="-0.16911359473983315"/>
    <n v="-0.20614434032631346"/>
    <x v="8"/>
  </r>
  <r>
    <x v="36"/>
    <n v="799"/>
    <n v="999"/>
    <n v="0.2"/>
    <n v="-12"/>
    <n v="4.0999999999999996"/>
    <m/>
    <m/>
    <n v="200"/>
    <x v="2"/>
    <x v="1"/>
    <m/>
    <n v="-0.17144884351523265"/>
    <n v="-0.25528508399746669"/>
    <x v="8"/>
  </r>
  <r>
    <x v="37"/>
    <n v="2880"/>
    <n v="3520"/>
    <n v="0.18"/>
    <n v="-12"/>
    <n v="3.8"/>
    <m/>
    <m/>
    <n v="640"/>
    <x v="2"/>
    <x v="2"/>
    <m/>
    <n v="-0.13149208517924579"/>
    <n v="-0.27315416670262571"/>
    <x v="8"/>
  </r>
  <r>
    <x v="38"/>
    <n v="2115"/>
    <n v="4700"/>
    <n v="0.55000000000000004"/>
    <n v="-13"/>
    <n v="2.1"/>
    <m/>
    <m/>
    <n v="2585"/>
    <x v="0"/>
    <x v="0"/>
    <m/>
    <n v="-7.5580411135364539E-2"/>
    <n v="-0.27549608560148303"/>
    <x v="9"/>
  </r>
  <r>
    <x v="39"/>
    <n v="38"/>
    <n v="80"/>
    <n v="0.53"/>
    <n v="-13"/>
    <n v="3.3"/>
    <m/>
    <m/>
    <n v="42"/>
    <x v="2"/>
    <x v="0"/>
    <m/>
    <n v="-0.1631348812526745"/>
    <n v="-0.20390852895857203"/>
    <x v="9"/>
  </r>
  <r>
    <x v="40"/>
    <n v="1350"/>
    <n v="1990"/>
    <n v="0.32"/>
    <n v="-13"/>
    <n v="3.8"/>
    <m/>
    <m/>
    <n v="640"/>
    <x v="2"/>
    <x v="1"/>
    <m/>
    <n v="-0.26905897156911579"/>
    <n v="-0.16355150799795512"/>
    <x v="9"/>
  </r>
  <r>
    <x v="41"/>
    <n v="527"/>
    <n v="999"/>
    <n v="0.47"/>
    <n v="-14"/>
    <n v="4.0999999999999996"/>
    <m/>
    <m/>
    <n v="472"/>
    <x v="2"/>
    <x v="0"/>
    <m/>
    <n v="-0.26890343254871313"/>
    <n v="-0.15206905561134426"/>
    <x v="10"/>
  </r>
  <r>
    <x v="42"/>
    <n v="1650"/>
    <n v="2150"/>
    <n v="0.23"/>
    <n v="-14"/>
    <n v="4.4000000000000004"/>
    <m/>
    <m/>
    <n v="500"/>
    <x v="2"/>
    <x v="1"/>
    <m/>
    <n v="-0.36661444165827495"/>
    <n v="-0.16469567085564671"/>
    <x v="10"/>
  </r>
  <r>
    <x v="43"/>
    <n v="325"/>
    <n v="680"/>
    <n v="0.52"/>
    <n v="-15"/>
    <n v="2.7"/>
    <m/>
    <m/>
    <n v="355"/>
    <x v="0"/>
    <x v="0"/>
    <m/>
    <n v="-0.32628689451988768"/>
    <n v="-0.21139429032677415"/>
    <x v="11"/>
  </r>
  <r>
    <x v="44"/>
    <n v="2999"/>
    <n v="3290"/>
    <n v="0.09"/>
    <n v="-15"/>
    <n v="4"/>
    <m/>
    <m/>
    <n v="291"/>
    <x v="2"/>
    <x v="2"/>
    <s v="Avg discount"/>
    <n v="-0.52086718702603962"/>
    <n v="-9.7512266045137769E-2"/>
    <x v="11"/>
  </r>
  <r>
    <x v="45"/>
    <n v="1220"/>
    <n v="1555"/>
    <n v="0.22"/>
    <n v="-16"/>
    <n v="2.9"/>
    <m/>
    <m/>
    <n v="335"/>
    <x v="0"/>
    <x v="1"/>
    <m/>
    <n v="-0.42980838623861628"/>
    <n v="-9.2973520425626316E-2"/>
    <x v="12"/>
  </r>
  <r>
    <x v="46"/>
    <n v="382"/>
    <n v="700"/>
    <n v="0.45"/>
    <n v="-17"/>
    <n v="2.6"/>
    <m/>
    <m/>
    <n v="318"/>
    <x v="0"/>
    <x v="0"/>
    <m/>
    <n v="-0.33909822444926685"/>
    <n v="8.4800964887704028E-2"/>
    <x v="13"/>
  </r>
  <r>
    <x v="47"/>
    <n v="1758"/>
    <n v="2499"/>
    <n v="0.3"/>
    <n v="-20"/>
    <n v="4.0999999999999996"/>
    <m/>
    <m/>
    <n v="741"/>
    <x v="2"/>
    <x v="1"/>
    <m/>
    <n v="-0.55434546761445347"/>
    <n v="0.54843595697122194"/>
    <x v="14"/>
  </r>
  <r>
    <x v="48"/>
    <n v="1940"/>
    <n v="2650"/>
    <n v="0.27"/>
    <n v="-20"/>
    <n v="4.7"/>
    <m/>
    <m/>
    <n v="710"/>
    <x v="1"/>
    <x v="1"/>
    <m/>
    <n v="-0.54577133756276719"/>
    <n v="0.68007877853967413"/>
    <x v="14"/>
  </r>
  <r>
    <x v="49"/>
    <n v="2199"/>
    <n v="2923"/>
    <n v="0.25"/>
    <n v="-24"/>
    <n v="4.5999999999999996"/>
    <m/>
    <m/>
    <n v="724"/>
    <x v="1"/>
    <x v="1"/>
    <s v="Avg old price"/>
    <n v="-0.4844303653315376"/>
    <n v="0.68565730612227538"/>
    <x v="15"/>
  </r>
  <r>
    <x v="50"/>
    <n v="1980"/>
    <n v="2699"/>
    <n v="0.27"/>
    <n v="-32"/>
    <n v="4.5"/>
    <m/>
    <m/>
    <n v="719"/>
    <x v="1"/>
    <x v="1"/>
    <m/>
    <n v="-0.33203337964335711"/>
    <n v="0.72323594557114823"/>
    <x v="16"/>
  </r>
  <r>
    <x v="51"/>
    <n v="389"/>
    <n v="656"/>
    <n v="0.41"/>
    <n v="-36"/>
    <n v="4.3"/>
    <m/>
    <m/>
    <n v="267"/>
    <x v="2"/>
    <x v="0"/>
    <m/>
    <n v="-0.14243444328253582"/>
    <n v="0.76471322749464044"/>
    <x v="17"/>
  </r>
  <r>
    <x v="52"/>
    <n v="990"/>
    <n v="1500"/>
    <n v="0.34"/>
    <n v="-39"/>
    <n v="4.7"/>
    <m/>
    <m/>
    <n v="510"/>
    <x v="1"/>
    <x v="1"/>
    <m/>
    <n v="-0.23834909755410968"/>
    <n v="0.87820875916952779"/>
    <x v="18"/>
  </r>
  <r>
    <x v="53"/>
    <n v="998"/>
    <n v="1966"/>
    <n v="0.49"/>
    <n v="-44"/>
    <n v="4.5999999999999996"/>
    <m/>
    <m/>
    <n v="968"/>
    <x v="1"/>
    <x v="0"/>
    <n v="3.9082379862700223"/>
    <n v="-0.13924805033834411"/>
    <n v="0.90941591201255123"/>
    <x v="19"/>
  </r>
  <r>
    <x v="54"/>
    <n v="420"/>
    <n v="647"/>
    <n v="0.35"/>
    <n v="-49"/>
    <n v="4.5999999999999996"/>
    <m/>
    <m/>
    <n v="227"/>
    <x v="1"/>
    <x v="1"/>
    <m/>
    <n v="-0.73096252724610122"/>
    <n v="0.95632471578712053"/>
    <x v="20"/>
  </r>
  <r>
    <x v="55"/>
    <n v="2319"/>
    <n v="3032"/>
    <n v="0.24"/>
    <n v="-55"/>
    <n v="4.5999999999999996"/>
    <m/>
    <m/>
    <n v="713"/>
    <x v="1"/>
    <x v="1"/>
    <n v="0.32514079670329671"/>
    <n v="-1"/>
    <n v="1"/>
    <x v="21"/>
  </r>
  <r>
    <x v="56"/>
    <n v="445"/>
    <n v="873"/>
    <n v="0.49"/>
    <n v="-69"/>
    <n v="2.8"/>
    <m/>
    <m/>
    <n v="428"/>
    <x v="0"/>
    <x v="0"/>
    <m/>
    <e v="#DIV/0!"/>
    <e v="#DIV/0!"/>
    <x v="22"/>
  </r>
  <r>
    <x v="57"/>
    <n v="199"/>
    <n v="553"/>
    <n v="0.64"/>
    <m/>
    <n v="3.8894736842105258"/>
    <m/>
    <m/>
    <n v="354"/>
    <x v="2"/>
    <x v="0"/>
    <m/>
    <e v="#DIV/0!"/>
    <e v="#DIV/0!"/>
    <x v="23"/>
  </r>
  <r>
    <x v="58"/>
    <n v="238"/>
    <n v="476"/>
    <n v="0.5"/>
    <m/>
    <m/>
    <m/>
    <n v="1800"/>
    <n v="238"/>
    <x v="0"/>
    <x v="0"/>
    <m/>
    <e v="#DIV/0!"/>
    <e v="#DIV/0!"/>
    <x v="23"/>
  </r>
  <r>
    <x v="59"/>
    <n v="999"/>
    <n v="2000"/>
    <n v="0.5"/>
    <m/>
    <m/>
    <m/>
    <m/>
    <n v="1001"/>
    <x v="0"/>
    <x v="0"/>
    <m/>
    <e v="#DIV/0!"/>
    <e v="#DIV/0!"/>
    <x v="23"/>
  </r>
  <r>
    <x v="60"/>
    <n v="299"/>
    <n v="600"/>
    <n v="0.5"/>
    <m/>
    <m/>
    <m/>
    <m/>
    <n v="301"/>
    <x v="0"/>
    <x v="0"/>
    <m/>
    <e v="#DIV/0!"/>
    <e v="#DIV/0!"/>
    <x v="23"/>
  </r>
  <r>
    <x v="61"/>
    <n v="850"/>
    <n v="1700"/>
    <n v="0.5"/>
    <m/>
    <m/>
    <m/>
    <m/>
    <n v="850"/>
    <x v="0"/>
    <x v="0"/>
    <m/>
    <e v="#DIV/0!"/>
    <e v="#DIV/0!"/>
    <x v="23"/>
  </r>
  <r>
    <x v="62"/>
    <n v="1200"/>
    <n v="2400"/>
    <n v="0.5"/>
    <m/>
    <m/>
    <m/>
    <m/>
    <n v="1200"/>
    <x v="0"/>
    <x v="0"/>
    <m/>
    <e v="#DIV/0!"/>
    <e v="#DIV/0!"/>
    <x v="23"/>
  </r>
  <r>
    <x v="63"/>
    <n v="475"/>
    <n v="931"/>
    <n v="0.49"/>
    <m/>
    <m/>
    <m/>
    <m/>
    <n v="456"/>
    <x v="0"/>
    <x v="0"/>
    <m/>
    <e v="#DIV/0!"/>
    <e v="#DIV/0!"/>
    <x v="23"/>
  </r>
  <r>
    <x v="64"/>
    <n v="671"/>
    <n v="1316"/>
    <n v="0.49"/>
    <m/>
    <m/>
    <m/>
    <m/>
    <n v="645"/>
    <x v="0"/>
    <x v="0"/>
    <m/>
    <e v="#DIV/0!"/>
    <e v="#DIV/0!"/>
    <x v="23"/>
  </r>
  <r>
    <x v="65"/>
    <n v="230"/>
    <n v="450"/>
    <n v="0.49"/>
    <m/>
    <m/>
    <m/>
    <m/>
    <n v="220"/>
    <x v="0"/>
    <x v="0"/>
    <m/>
    <e v="#DIV/0!"/>
    <e v="#DIV/0!"/>
    <x v="23"/>
  </r>
  <r>
    <x v="66"/>
    <n v="274"/>
    <n v="537"/>
    <n v="0.49"/>
    <m/>
    <m/>
    <m/>
    <m/>
    <n v="263"/>
    <x v="0"/>
    <x v="0"/>
    <m/>
    <e v="#DIV/0!"/>
    <e v="#DIV/0!"/>
    <x v="23"/>
  </r>
  <r>
    <x v="67"/>
    <n v="248"/>
    <n v="486"/>
    <n v="0.49"/>
    <m/>
    <m/>
    <m/>
    <m/>
    <n v="238"/>
    <x v="0"/>
    <x v="0"/>
    <m/>
    <e v="#DIV/0!"/>
    <e v="#DIV/0!"/>
    <x v="23"/>
  </r>
  <r>
    <x v="68"/>
    <n v="525"/>
    <n v="1029"/>
    <n v="0.49"/>
    <m/>
    <m/>
    <m/>
    <m/>
    <n v="504"/>
    <x v="0"/>
    <x v="0"/>
    <m/>
    <e v="#DIV/0!"/>
    <e v="#DIV/0!"/>
    <x v="23"/>
  </r>
  <r>
    <x v="69"/>
    <n v="699"/>
    <n v="1343"/>
    <n v="0.48"/>
    <m/>
    <m/>
    <m/>
    <m/>
    <n v="644"/>
    <x v="0"/>
    <x v="0"/>
    <m/>
    <e v="#DIV/0!"/>
    <e v="#DIV/0!"/>
    <x v="23"/>
  </r>
  <r>
    <x v="70"/>
    <n v="1300"/>
    <n v="2500"/>
    <n v="0.48"/>
    <m/>
    <m/>
    <m/>
    <m/>
    <n v="1200"/>
    <x v="0"/>
    <x v="0"/>
    <m/>
    <e v="#DIV/0!"/>
    <e v="#DIV/0!"/>
    <x v="23"/>
  </r>
  <r>
    <x v="71"/>
    <n v="105"/>
    <n v="200"/>
    <n v="0.48"/>
    <m/>
    <m/>
    <m/>
    <m/>
    <n v="95"/>
    <x v="0"/>
    <x v="0"/>
    <m/>
    <e v="#DIV/0!"/>
    <e v="#DIV/0!"/>
    <x v="23"/>
  </r>
  <r>
    <x v="72"/>
    <n v="790"/>
    <n v="1485"/>
    <n v="0.47"/>
    <m/>
    <m/>
    <m/>
    <m/>
    <n v="695"/>
    <x v="0"/>
    <x v="0"/>
    <m/>
    <e v="#DIV/0!"/>
    <e v="#DIV/0!"/>
    <x v="23"/>
  </r>
  <r>
    <x v="73"/>
    <n v="169"/>
    <n v="320"/>
    <n v="0.47"/>
    <m/>
    <m/>
    <m/>
    <m/>
    <n v="151"/>
    <x v="0"/>
    <x v="0"/>
    <m/>
    <e v="#DIV/0!"/>
    <e v="#DIV/0!"/>
    <x v="23"/>
  </r>
  <r>
    <x v="74"/>
    <n v="2200"/>
    <n v="4080"/>
    <n v="0.46"/>
    <m/>
    <m/>
    <m/>
    <m/>
    <n v="1880"/>
    <x v="0"/>
    <x v="0"/>
    <m/>
    <e v="#DIV/0!"/>
    <e v="#DIV/0!"/>
    <x v="23"/>
  </r>
  <r>
    <x v="75"/>
    <n v="690"/>
    <n v="1200"/>
    <n v="0.43"/>
    <m/>
    <m/>
    <m/>
    <m/>
    <n v="510"/>
    <x v="0"/>
    <x v="0"/>
    <m/>
    <e v="#DIV/0!"/>
    <e v="#DIV/0!"/>
    <x v="23"/>
  </r>
  <r>
    <x v="76"/>
    <n v="630"/>
    <n v="1100"/>
    <n v="0.43"/>
    <m/>
    <m/>
    <m/>
    <m/>
    <n v="470"/>
    <x v="0"/>
    <x v="0"/>
    <m/>
    <e v="#DIV/0!"/>
    <e v="#DIV/0!"/>
    <x v="23"/>
  </r>
  <r>
    <x v="77"/>
    <n v="1860"/>
    <n v="3220"/>
    <n v="0.42"/>
    <m/>
    <m/>
    <m/>
    <m/>
    <n v="1360"/>
    <x v="0"/>
    <x v="0"/>
    <m/>
    <e v="#DIV/0!"/>
    <e v="#DIV/0!"/>
    <x v="23"/>
  </r>
  <r>
    <x v="78"/>
    <n v="1080"/>
    <n v="1874"/>
    <n v="0.42"/>
    <m/>
    <m/>
    <m/>
    <m/>
    <n v="794"/>
    <x v="0"/>
    <x v="0"/>
    <m/>
    <e v="#DIV/0!"/>
    <e v="#DIV/0!"/>
    <x v="23"/>
  </r>
  <r>
    <x v="79"/>
    <n v="799"/>
    <n v="1343"/>
    <n v="0.41"/>
    <m/>
    <m/>
    <m/>
    <m/>
    <n v="544"/>
    <x v="0"/>
    <x v="0"/>
    <m/>
    <e v="#DIV/0!"/>
    <e v="#DIV/0!"/>
    <x v="23"/>
  </r>
  <r>
    <x v="80"/>
    <n v="1420"/>
    <n v="2420"/>
    <n v="0.41"/>
    <m/>
    <m/>
    <m/>
    <m/>
    <n v="1000"/>
    <x v="0"/>
    <x v="0"/>
    <m/>
    <e v="#DIV/0!"/>
    <e v="#DIV/0!"/>
    <x v="23"/>
  </r>
  <r>
    <x v="81"/>
    <n v="2750"/>
    <n v="4471"/>
    <n v="0.38"/>
    <m/>
    <m/>
    <m/>
    <m/>
    <n v="1721"/>
    <x v="0"/>
    <x v="1"/>
    <m/>
    <e v="#DIV/0!"/>
    <e v="#DIV/0!"/>
    <x v="23"/>
  </r>
  <r>
    <x v="82"/>
    <n v="1200"/>
    <n v="1950"/>
    <n v="0.38"/>
    <m/>
    <m/>
    <m/>
    <m/>
    <n v="750"/>
    <x v="0"/>
    <x v="1"/>
    <m/>
    <e v="#DIV/0!"/>
    <e v="#DIV/0!"/>
    <x v="23"/>
  </r>
  <r>
    <x v="83"/>
    <n v="1460"/>
    <n v="2290"/>
    <n v="0.36"/>
    <m/>
    <m/>
    <m/>
    <m/>
    <n v="830"/>
    <x v="0"/>
    <x v="1"/>
    <m/>
    <e v="#DIV/0!"/>
    <e v="#DIV/0!"/>
    <x v="23"/>
  </r>
  <r>
    <x v="84"/>
    <n v="1150"/>
    <n v="1737"/>
    <n v="0.34"/>
    <m/>
    <m/>
    <m/>
    <m/>
    <n v="587"/>
    <x v="0"/>
    <x v="1"/>
    <m/>
    <e v="#DIV/0!"/>
    <e v="#DIV/0!"/>
    <x v="23"/>
  </r>
  <r>
    <x v="85"/>
    <n v="1190"/>
    <n v="1810"/>
    <n v="0.34"/>
    <m/>
    <m/>
    <m/>
    <m/>
    <n v="620"/>
    <x v="0"/>
    <x v="1"/>
    <m/>
    <e v="#DIV/0!"/>
    <e v="#DIV/0!"/>
    <x v="23"/>
  </r>
  <r>
    <x v="86"/>
    <n v="1190"/>
    <n v="1785"/>
    <n v="0.33"/>
    <m/>
    <m/>
    <m/>
    <m/>
    <n v="595"/>
    <x v="0"/>
    <x v="1"/>
    <m/>
    <e v="#DIV/0!"/>
    <e v="#DIV/0!"/>
    <x v="23"/>
  </r>
  <r>
    <x v="87"/>
    <n v="2799"/>
    <n v="3810"/>
    <n v="0.27"/>
    <m/>
    <m/>
    <m/>
    <m/>
    <n v="1011"/>
    <x v="0"/>
    <x v="1"/>
    <m/>
    <e v="#DIV/0!"/>
    <e v="#DIV/0!"/>
    <x v="23"/>
  </r>
  <r>
    <x v="88"/>
    <n v="198"/>
    <n v="260"/>
    <n v="0.24"/>
    <m/>
    <m/>
    <m/>
    <m/>
    <n v="62"/>
    <x v="0"/>
    <x v="1"/>
    <m/>
    <e v="#DIV/0!"/>
    <e v="#DIV/0!"/>
    <x v="23"/>
  </r>
  <r>
    <x v="89"/>
    <n v="299"/>
    <n v="384"/>
    <n v="0.22"/>
    <m/>
    <m/>
    <m/>
    <m/>
    <n v="85"/>
    <x v="0"/>
    <x v="1"/>
    <m/>
    <e v="#DIV/0!"/>
    <e v="#DIV/0!"/>
    <x v="23"/>
  </r>
  <r>
    <x v="90"/>
    <n v="1466"/>
    <n v="1699"/>
    <n v="0.14000000000000001"/>
    <m/>
    <m/>
    <m/>
    <m/>
    <n v="233"/>
    <x v="0"/>
    <x v="2"/>
    <m/>
    <e v="#DIV/0!"/>
    <e v="#DIV/0!"/>
    <x v="23"/>
  </r>
  <r>
    <x v="91"/>
    <n v="1468"/>
    <n v="1699"/>
    <n v="0.14000000000000001"/>
    <m/>
    <m/>
    <m/>
    <m/>
    <n v="231"/>
    <x v="0"/>
    <x v="2"/>
    <m/>
    <e v="#DIV/0!"/>
    <e v="#DIV/0!"/>
    <x v="23"/>
  </r>
  <r>
    <x v="92"/>
    <n v="799"/>
    <n v="900"/>
    <n v="0.11"/>
    <m/>
    <m/>
    <m/>
    <m/>
    <n v="101"/>
    <x v="0"/>
    <x v="2"/>
    <m/>
    <e v="#DIV/0!"/>
    <e v="#DIV/0!"/>
    <x v="23"/>
  </r>
  <r>
    <x v="93"/>
    <n v="1526"/>
    <n v="1660"/>
    <n v="0.08"/>
    <m/>
    <m/>
    <m/>
    <m/>
    <n v="134"/>
    <x v="0"/>
    <x v="2"/>
    <m/>
    <e v="#DIV/0!"/>
    <e v="#DIV/0!"/>
    <x v="23"/>
  </r>
  <r>
    <x v="94"/>
    <n v="1732"/>
    <n v="1799"/>
    <n v="0.04"/>
    <m/>
    <m/>
    <m/>
    <m/>
    <n v="67"/>
    <x v="0"/>
    <x v="2"/>
    <m/>
    <e v="#DIV/0!"/>
    <e v="#DIV/0!"/>
    <x v="23"/>
  </r>
  <r>
    <x v="95"/>
    <n v="3546"/>
    <n v="3699"/>
    <n v="0.04"/>
    <m/>
    <m/>
    <m/>
    <m/>
    <n v="153"/>
    <x v="0"/>
    <x v="2"/>
    <m/>
    <e v="#DIV/0!"/>
    <e v="#DIV/0!"/>
    <x v="23"/>
  </r>
  <r>
    <x v="96"/>
    <n v="1459"/>
    <n v="1499"/>
    <n v="0.03"/>
    <m/>
    <m/>
    <m/>
    <m/>
    <n v="40"/>
    <x v="0"/>
    <x v="2"/>
    <m/>
    <e v="#DIV/0!"/>
    <e v="#DIV/0!"/>
    <x v="23"/>
  </r>
  <r>
    <x v="97"/>
    <n v="2132"/>
    <n v="2169"/>
    <n v="0.02"/>
    <m/>
    <m/>
    <m/>
    <n v="2700"/>
    <n v="37"/>
    <x v="0"/>
    <x v="2"/>
    <m/>
    <e v="#DIV/0!"/>
    <e v="#DIV/0!"/>
    <x v="23"/>
  </r>
  <r>
    <x v="98"/>
    <n v="1660"/>
    <n v="1699"/>
    <n v="0.02"/>
    <m/>
    <m/>
    <m/>
    <m/>
    <n v="39"/>
    <x v="0"/>
    <x v="2"/>
    <m/>
    <e v="#DIV/0!"/>
    <e v="#DIV/0!"/>
    <x v="23"/>
  </r>
  <r>
    <x v="99"/>
    <n v="1666"/>
    <n v="1699"/>
    <n v="0.02"/>
    <m/>
    <m/>
    <m/>
    <m/>
    <n v="33"/>
    <x v="0"/>
    <x v="2"/>
    <m/>
    <e v="#DIV/0!"/>
    <e v="#DIV/0!"/>
    <x v="23"/>
  </r>
  <r>
    <x v="100"/>
    <n v="1462"/>
    <n v="1499"/>
    <n v="0.02"/>
    <m/>
    <m/>
    <m/>
    <m/>
    <n v="37"/>
    <x v="0"/>
    <x v="2"/>
    <m/>
    <e v="#DIV/0!"/>
    <e v="#DIV/0!"/>
    <x v="23"/>
  </r>
  <r>
    <x v="101"/>
    <n v="1658"/>
    <n v="1699"/>
    <n v="0.02"/>
    <m/>
    <m/>
    <m/>
    <m/>
    <n v="41"/>
    <x v="0"/>
    <x v="2"/>
    <m/>
    <e v="#DIV/0!"/>
    <e v="#DIV/0!"/>
    <x v="23"/>
  </r>
  <r>
    <x v="102"/>
    <n v="1768"/>
    <n v="1799"/>
    <n v="0.02"/>
    <m/>
    <m/>
    <m/>
    <m/>
    <n v="31"/>
    <x v="0"/>
    <x v="2"/>
    <m/>
    <e v="#DIV/0!"/>
    <e v="#DIV/0!"/>
    <x v="23"/>
  </r>
  <r>
    <x v="103"/>
    <n v="1875"/>
    <n v="1899"/>
    <n v="0.01"/>
    <m/>
    <m/>
    <m/>
    <m/>
    <n v="24"/>
    <x v="0"/>
    <x v="2"/>
    <m/>
    <e v="#DIV/0!"/>
    <e v="#DIV/0!"/>
    <x v="23"/>
  </r>
  <r>
    <x v="104"/>
    <m/>
    <m/>
    <n v="0.35788461538461547"/>
    <m/>
    <m/>
    <m/>
    <m/>
    <m/>
    <x v="3"/>
    <x v="3"/>
    <m/>
    <m/>
    <m/>
    <x v="24"/>
  </r>
  <r>
    <x v="104"/>
    <m/>
    <m/>
    <m/>
    <m/>
    <m/>
    <m/>
    <m/>
    <m/>
    <x v="3"/>
    <x v="3"/>
    <m/>
    <m/>
    <m/>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ACBFB7-3CFB-42FD-AAE8-B3AC3C576B56}"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E8" firstHeaderRow="1" firstDataRow="2" firstDataCol="1"/>
  <pivotFields count="15">
    <pivotField dataField="1" showAll="0">
      <items count="106">
        <item x="10"/>
        <item x="52"/>
        <item x="9"/>
        <item x="40"/>
        <item x="35"/>
        <item x="56"/>
        <item x="87"/>
        <item x="14"/>
        <item x="55"/>
        <item x="88"/>
        <item x="99"/>
        <item x="44"/>
        <item x="103"/>
        <item x="62"/>
        <item x="82"/>
        <item x="72"/>
        <item x="16"/>
        <item x="27"/>
        <item x="53"/>
        <item x="75"/>
        <item x="39"/>
        <item x="67"/>
        <item x="34"/>
        <item x="63"/>
        <item x="77"/>
        <item x="25"/>
        <item x="47"/>
        <item x="50"/>
        <item x="48"/>
        <item x="83"/>
        <item x="38"/>
        <item x="57"/>
        <item x="86"/>
        <item x="65"/>
        <item x="20"/>
        <item x="78"/>
        <item x="80"/>
        <item x="46"/>
        <item x="7"/>
        <item x="21"/>
        <item x="68"/>
        <item x="1"/>
        <item x="73"/>
        <item x="60"/>
        <item x="64"/>
        <item x="66"/>
        <item x="85"/>
        <item x="59"/>
        <item x="69"/>
        <item x="6"/>
        <item x="94"/>
        <item x="79"/>
        <item x="11"/>
        <item x="4"/>
        <item x="28"/>
        <item x="54"/>
        <item x="30"/>
        <item x="42"/>
        <item x="36"/>
        <item x="2"/>
        <item x="43"/>
        <item x="5"/>
        <item x="17"/>
        <item x="26"/>
        <item x="12"/>
        <item x="23"/>
        <item x="13"/>
        <item x="81"/>
        <item x="31"/>
        <item x="24"/>
        <item x="84"/>
        <item x="19"/>
        <item x="3"/>
        <item x="41"/>
        <item x="95"/>
        <item x="58"/>
        <item x="32"/>
        <item x="76"/>
        <item x="74"/>
        <item x="96"/>
        <item x="33"/>
        <item x="90"/>
        <item x="92"/>
        <item x="8"/>
        <item x="98"/>
        <item x="89"/>
        <item x="18"/>
        <item x="49"/>
        <item x="100"/>
        <item x="37"/>
        <item x="70"/>
        <item x="51"/>
        <item x="71"/>
        <item x="97"/>
        <item x="101"/>
        <item x="102"/>
        <item x="45"/>
        <item x="61"/>
        <item x="93"/>
        <item x="0"/>
        <item x="91"/>
        <item x="22"/>
        <item x="29"/>
        <item x="15"/>
        <item x="104"/>
        <item t="default"/>
      </items>
    </pivotField>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axis="axisCol" showAll="0">
      <items count="5">
        <item x="0"/>
        <item x="2"/>
        <item x="1"/>
        <item x="3"/>
        <item t="default"/>
      </items>
    </pivotField>
    <pivotField showAll="0"/>
    <pivotField showAll="0"/>
    <pivotField showAll="0"/>
    <pivotField showAll="0">
      <items count="27">
        <item x="23"/>
        <item h="1" x="0"/>
        <item h="1" x="1"/>
        <item h="1" x="2"/>
        <item h="1" x="3"/>
        <item h="1" x="4"/>
        <item h="1" x="5"/>
        <item h="1" x="6"/>
        <item h="1" x="7"/>
        <item h="1" x="8"/>
        <item h="1" x="9"/>
        <item h="1" x="10"/>
        <item h="1" x="11"/>
        <item h="1" x="12"/>
        <item h="1" x="13"/>
        <item h="1" x="14"/>
        <item h="1" x="15"/>
        <item h="1" x="16"/>
        <item h="1" x="17"/>
        <item h="1" x="18"/>
        <item h="1" x="19"/>
        <item h="1" x="20"/>
        <item h="1" x="21"/>
        <item h="1" x="22"/>
        <item h="1" x="24"/>
        <item h="1" x="25"/>
        <item t="default"/>
      </items>
    </pivotField>
  </pivotFields>
  <rowFields count="1">
    <field x="9"/>
  </rowFields>
  <rowItems count="3">
    <i>
      <x/>
    </i>
    <i>
      <x v="2"/>
    </i>
    <i t="grand">
      <x/>
    </i>
  </rowItems>
  <colFields count="1">
    <field x="10"/>
  </colFields>
  <colItems count="4">
    <i>
      <x/>
    </i>
    <i>
      <x v="1"/>
    </i>
    <i>
      <x v="2"/>
    </i>
    <i t="grand">
      <x/>
    </i>
  </colItems>
  <dataFields count="1">
    <dataField name="Count of Product" fld="0" subtotal="count" baseField="0" baseItem="0"/>
  </dataFields>
  <formats count="10">
    <format dxfId="64">
      <pivotArea type="all" dataOnly="0" outline="0" fieldPosition="0"/>
    </format>
    <format dxfId="63">
      <pivotArea outline="0" collapsedLevelsAreSubtotals="1" fieldPosition="0"/>
    </format>
    <format dxfId="62">
      <pivotArea type="origin" dataOnly="0" labelOnly="1" outline="0" fieldPosition="0"/>
    </format>
    <format dxfId="61">
      <pivotArea field="10" type="button" dataOnly="0" labelOnly="1" outline="0" axis="axisCol" fieldPosition="0"/>
    </format>
    <format dxfId="60">
      <pivotArea type="topRight" dataOnly="0" labelOnly="1" outline="0" fieldPosition="0"/>
    </format>
    <format dxfId="59">
      <pivotArea field="9" type="button" dataOnly="0" labelOnly="1" outline="0" axis="axisRow" fieldPosition="0"/>
    </format>
    <format dxfId="58">
      <pivotArea dataOnly="0" labelOnly="1" fieldPosition="0">
        <references count="1">
          <reference field="9" count="0"/>
        </references>
      </pivotArea>
    </format>
    <format dxfId="57">
      <pivotArea dataOnly="0" labelOnly="1" grandRow="1" outline="0" fieldPosition="0"/>
    </format>
    <format dxfId="56">
      <pivotArea dataOnly="0" labelOnly="1" fieldPosition="0">
        <references count="1">
          <reference field="10" count="0"/>
        </references>
      </pivotArea>
    </format>
    <format dxfId="55">
      <pivotArea dataOnly="0" labelOnly="1" grandCol="1" outline="0" fieldPosition="0"/>
    </format>
  </format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FC59C2-6989-4C9C-B9F0-25CB9AF8696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location ref="A3:D51" firstHeaderRow="0" firstDataRow="1" firstDataCol="1"/>
  <pivotFields count="15">
    <pivotField axis="axisRow" showAll="0" measureFilter="1">
      <items count="106">
        <item x="10"/>
        <item x="52"/>
        <item x="9"/>
        <item x="40"/>
        <item x="35"/>
        <item x="56"/>
        <item x="87"/>
        <item x="14"/>
        <item x="55"/>
        <item x="88"/>
        <item x="99"/>
        <item x="44"/>
        <item x="103"/>
        <item x="62"/>
        <item x="82"/>
        <item x="72"/>
        <item x="16"/>
        <item x="27"/>
        <item x="53"/>
        <item x="75"/>
        <item x="39"/>
        <item x="67"/>
        <item x="34"/>
        <item x="63"/>
        <item x="77"/>
        <item x="25"/>
        <item x="47"/>
        <item x="50"/>
        <item x="48"/>
        <item x="83"/>
        <item x="38"/>
        <item x="57"/>
        <item x="86"/>
        <item x="65"/>
        <item x="20"/>
        <item x="78"/>
        <item x="80"/>
        <item x="46"/>
        <item x="7"/>
        <item x="21"/>
        <item x="68"/>
        <item x="1"/>
        <item x="73"/>
        <item x="60"/>
        <item x="64"/>
        <item x="66"/>
        <item x="85"/>
        <item x="59"/>
        <item x="69"/>
        <item x="6"/>
        <item x="94"/>
        <item x="79"/>
        <item x="11"/>
        <item x="4"/>
        <item x="28"/>
        <item x="54"/>
        <item x="30"/>
        <item x="42"/>
        <item x="36"/>
        <item x="2"/>
        <item x="43"/>
        <item x="5"/>
        <item x="17"/>
        <item x="26"/>
        <item x="12"/>
        <item x="23"/>
        <item x="13"/>
        <item x="81"/>
        <item x="31"/>
        <item x="24"/>
        <item x="84"/>
        <item x="19"/>
        <item x="3"/>
        <item x="41"/>
        <item x="95"/>
        <item x="58"/>
        <item x="32"/>
        <item x="76"/>
        <item x="74"/>
        <item x="96"/>
        <item x="33"/>
        <item x="90"/>
        <item x="92"/>
        <item x="8"/>
        <item x="98"/>
        <item x="89"/>
        <item x="18"/>
        <item x="49"/>
        <item x="100"/>
        <item x="37"/>
        <item x="70"/>
        <item x="51"/>
        <item x="71"/>
        <item x="97"/>
        <item x="101"/>
        <item x="102"/>
        <item x="45"/>
        <item x="61"/>
        <item x="93"/>
        <item x="0"/>
        <item x="91"/>
        <item x="22"/>
        <item x="29"/>
        <item x="15"/>
        <item x="104"/>
        <item t="default"/>
      </items>
    </pivotField>
    <pivotField showAll="0"/>
    <pivotField showAll="0"/>
    <pivotField dataField="1" showAll="0"/>
    <pivotField showAll="0"/>
    <pivotField dataField="1" showAll="0"/>
    <pivotField showAll="0"/>
    <pivotField showAll="0"/>
    <pivotField showAll="0"/>
    <pivotField showAll="0"/>
    <pivotField showAll="0">
      <items count="5">
        <item x="0"/>
        <item x="2"/>
        <item x="1"/>
        <item x="3"/>
        <item t="default"/>
      </items>
    </pivotField>
    <pivotField showAll="0"/>
    <pivotField showAll="0"/>
    <pivotField showAll="0"/>
    <pivotField dataField="1" showAll="0">
      <items count="27">
        <item x="23"/>
        <item h="1" x="0"/>
        <item h="1" x="1"/>
        <item h="1" x="2"/>
        <item h="1" x="3"/>
        <item h="1" x="4"/>
        <item h="1" x="5"/>
        <item h="1" x="6"/>
        <item h="1" x="7"/>
        <item h="1" x="8"/>
        <item h="1" x="9"/>
        <item h="1" x="10"/>
        <item h="1" x="11"/>
        <item h="1" x="12"/>
        <item h="1" x="13"/>
        <item h="1" x="14"/>
        <item h="1" x="15"/>
        <item h="1" x="16"/>
        <item h="1" x="17"/>
        <item h="1" x="18"/>
        <item h="1" x="19"/>
        <item h="1" x="20"/>
        <item h="1" x="21"/>
        <item h="1" x="22"/>
        <item h="1" x="24"/>
        <item h="1" x="25"/>
        <item t="default"/>
      </items>
    </pivotField>
  </pivotFields>
  <rowFields count="1">
    <field x="0"/>
  </rowFields>
  <rowItems count="48">
    <i>
      <x v="6"/>
    </i>
    <i>
      <x v="9"/>
    </i>
    <i>
      <x v="10"/>
    </i>
    <i>
      <x v="12"/>
    </i>
    <i>
      <x v="13"/>
    </i>
    <i>
      <x v="14"/>
    </i>
    <i>
      <x v="15"/>
    </i>
    <i>
      <x v="19"/>
    </i>
    <i>
      <x v="21"/>
    </i>
    <i>
      <x v="23"/>
    </i>
    <i>
      <x v="24"/>
    </i>
    <i>
      <x v="29"/>
    </i>
    <i>
      <x v="31"/>
    </i>
    <i>
      <x v="32"/>
    </i>
    <i>
      <x v="33"/>
    </i>
    <i>
      <x v="35"/>
    </i>
    <i>
      <x v="36"/>
    </i>
    <i>
      <x v="40"/>
    </i>
    <i>
      <x v="42"/>
    </i>
    <i>
      <x v="43"/>
    </i>
    <i>
      <x v="44"/>
    </i>
    <i>
      <x v="45"/>
    </i>
    <i>
      <x v="46"/>
    </i>
    <i>
      <x v="47"/>
    </i>
    <i>
      <x v="48"/>
    </i>
    <i>
      <x v="50"/>
    </i>
    <i>
      <x v="51"/>
    </i>
    <i>
      <x v="67"/>
    </i>
    <i>
      <x v="70"/>
    </i>
    <i>
      <x v="74"/>
    </i>
    <i>
      <x v="75"/>
    </i>
    <i>
      <x v="77"/>
    </i>
    <i>
      <x v="78"/>
    </i>
    <i>
      <x v="79"/>
    </i>
    <i>
      <x v="81"/>
    </i>
    <i>
      <x v="82"/>
    </i>
    <i>
      <x v="84"/>
    </i>
    <i>
      <x v="85"/>
    </i>
    <i>
      <x v="88"/>
    </i>
    <i>
      <x v="90"/>
    </i>
    <i>
      <x v="92"/>
    </i>
    <i>
      <x v="93"/>
    </i>
    <i>
      <x v="94"/>
    </i>
    <i>
      <x v="95"/>
    </i>
    <i>
      <x v="97"/>
    </i>
    <i>
      <x v="98"/>
    </i>
    <i>
      <x v="100"/>
    </i>
    <i t="grand">
      <x/>
    </i>
  </rowItems>
  <colFields count="1">
    <field x="-2"/>
  </colFields>
  <colItems count="3">
    <i>
      <x/>
    </i>
    <i i="1">
      <x v="1"/>
    </i>
    <i i="2">
      <x v="2"/>
    </i>
  </colItems>
  <dataFields count="3">
    <dataField name="Sum of Ratings" fld="5" baseField="0" baseItem="0"/>
    <dataField name="Sum of Discount" fld="3" baseField="0" baseItem="0"/>
    <dataField name="Sum of Absolute" fld="14" baseField="0" baseItem="0"/>
  </dataFields>
  <formats count="6">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10">
            <x v="22"/>
            <x v="38"/>
            <x v="41"/>
            <x v="49"/>
            <x v="53"/>
            <x v="61"/>
            <x v="64"/>
            <x v="66"/>
            <x v="83"/>
            <x v="86"/>
          </reference>
        </references>
      </pivotArea>
    </format>
    <format dxfId="50">
      <pivotArea dataOnly="0" labelOnly="1" grandRow="1" outline="0" fieldPosition="0"/>
    </format>
    <format dxfId="49">
      <pivotArea dataOnly="0" labelOnly="1" outline="0" fieldPosition="0">
        <references count="1">
          <reference field="4294967294" count="3">
            <x v="0"/>
            <x v="1"/>
            <x v="2"/>
          </reference>
        </references>
      </pivotArea>
    </format>
  </formats>
  <chartFormats count="6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5" format="36" series="1">
      <pivotArea type="data" outline="0" fieldPosition="0">
        <references count="1">
          <reference field="4294967294" count="1" selected="0">
            <x v="0"/>
          </reference>
        </references>
      </pivotArea>
    </chartFormat>
    <chartFormat chart="5" format="37">
      <pivotArea type="data" outline="0" fieldPosition="0">
        <references count="2">
          <reference field="4294967294" count="1" selected="0">
            <x v="0"/>
          </reference>
          <reference field="0" count="1" selected="0">
            <x v="22"/>
          </reference>
        </references>
      </pivotArea>
    </chartFormat>
    <chartFormat chart="5" format="38">
      <pivotArea type="data" outline="0" fieldPosition="0">
        <references count="2">
          <reference field="4294967294" count="1" selected="0">
            <x v="0"/>
          </reference>
          <reference field="0" count="1" selected="0">
            <x v="38"/>
          </reference>
        </references>
      </pivotArea>
    </chartFormat>
    <chartFormat chart="5" format="39">
      <pivotArea type="data" outline="0" fieldPosition="0">
        <references count="2">
          <reference field="4294967294" count="1" selected="0">
            <x v="0"/>
          </reference>
          <reference field="0" count="1" selected="0">
            <x v="41"/>
          </reference>
        </references>
      </pivotArea>
    </chartFormat>
    <chartFormat chart="5" format="40">
      <pivotArea type="data" outline="0" fieldPosition="0">
        <references count="2">
          <reference field="4294967294" count="1" selected="0">
            <x v="0"/>
          </reference>
          <reference field="0" count="1" selected="0">
            <x v="49"/>
          </reference>
        </references>
      </pivotArea>
    </chartFormat>
    <chartFormat chart="5" format="41">
      <pivotArea type="data" outline="0" fieldPosition="0">
        <references count="2">
          <reference field="4294967294" count="1" selected="0">
            <x v="0"/>
          </reference>
          <reference field="0" count="1" selected="0">
            <x v="53"/>
          </reference>
        </references>
      </pivotArea>
    </chartFormat>
    <chartFormat chart="5" format="42">
      <pivotArea type="data" outline="0" fieldPosition="0">
        <references count="2">
          <reference field="4294967294" count="1" selected="0">
            <x v="0"/>
          </reference>
          <reference field="0" count="1" selected="0">
            <x v="61"/>
          </reference>
        </references>
      </pivotArea>
    </chartFormat>
    <chartFormat chart="5" format="43">
      <pivotArea type="data" outline="0" fieldPosition="0">
        <references count="2">
          <reference field="4294967294" count="1" selected="0">
            <x v="0"/>
          </reference>
          <reference field="0" count="1" selected="0">
            <x v="64"/>
          </reference>
        </references>
      </pivotArea>
    </chartFormat>
    <chartFormat chart="5" format="44">
      <pivotArea type="data" outline="0" fieldPosition="0">
        <references count="2">
          <reference field="4294967294" count="1" selected="0">
            <x v="0"/>
          </reference>
          <reference field="0" count="1" selected="0">
            <x v="66"/>
          </reference>
        </references>
      </pivotArea>
    </chartFormat>
    <chartFormat chart="5" format="45">
      <pivotArea type="data" outline="0" fieldPosition="0">
        <references count="2">
          <reference field="4294967294" count="1" selected="0">
            <x v="0"/>
          </reference>
          <reference field="0" count="1" selected="0">
            <x v="83"/>
          </reference>
        </references>
      </pivotArea>
    </chartFormat>
    <chartFormat chart="5" format="46">
      <pivotArea type="data" outline="0" fieldPosition="0">
        <references count="2">
          <reference field="4294967294" count="1" selected="0">
            <x v="0"/>
          </reference>
          <reference field="0" count="1" selected="0">
            <x v="86"/>
          </reference>
        </references>
      </pivotArea>
    </chartFormat>
    <chartFormat chart="5" format="47" series="1">
      <pivotArea type="data" outline="0" fieldPosition="0">
        <references count="1">
          <reference field="4294967294" count="1" selected="0">
            <x v="1"/>
          </reference>
        </references>
      </pivotArea>
    </chartFormat>
    <chartFormat chart="5" format="48">
      <pivotArea type="data" outline="0" fieldPosition="0">
        <references count="2">
          <reference field="4294967294" count="1" selected="0">
            <x v="1"/>
          </reference>
          <reference field="0" count="1" selected="0">
            <x v="22"/>
          </reference>
        </references>
      </pivotArea>
    </chartFormat>
    <chartFormat chart="5" format="49">
      <pivotArea type="data" outline="0" fieldPosition="0">
        <references count="2">
          <reference field="4294967294" count="1" selected="0">
            <x v="1"/>
          </reference>
          <reference field="0" count="1" selected="0">
            <x v="38"/>
          </reference>
        </references>
      </pivotArea>
    </chartFormat>
    <chartFormat chart="5" format="50">
      <pivotArea type="data" outline="0" fieldPosition="0">
        <references count="2">
          <reference field="4294967294" count="1" selected="0">
            <x v="1"/>
          </reference>
          <reference field="0" count="1" selected="0">
            <x v="41"/>
          </reference>
        </references>
      </pivotArea>
    </chartFormat>
    <chartFormat chart="5" format="51">
      <pivotArea type="data" outline="0" fieldPosition="0">
        <references count="2">
          <reference field="4294967294" count="1" selected="0">
            <x v="1"/>
          </reference>
          <reference field="0" count="1" selected="0">
            <x v="49"/>
          </reference>
        </references>
      </pivotArea>
    </chartFormat>
    <chartFormat chart="5" format="52">
      <pivotArea type="data" outline="0" fieldPosition="0">
        <references count="2">
          <reference field="4294967294" count="1" selected="0">
            <x v="1"/>
          </reference>
          <reference field="0" count="1" selected="0">
            <x v="53"/>
          </reference>
        </references>
      </pivotArea>
    </chartFormat>
    <chartFormat chart="5" format="53">
      <pivotArea type="data" outline="0" fieldPosition="0">
        <references count="2">
          <reference field="4294967294" count="1" selected="0">
            <x v="1"/>
          </reference>
          <reference field="0" count="1" selected="0">
            <x v="61"/>
          </reference>
        </references>
      </pivotArea>
    </chartFormat>
    <chartFormat chart="5" format="54">
      <pivotArea type="data" outline="0" fieldPosition="0">
        <references count="2">
          <reference field="4294967294" count="1" selected="0">
            <x v="1"/>
          </reference>
          <reference field="0" count="1" selected="0">
            <x v="64"/>
          </reference>
        </references>
      </pivotArea>
    </chartFormat>
    <chartFormat chart="5" format="55">
      <pivotArea type="data" outline="0" fieldPosition="0">
        <references count="2">
          <reference field="4294967294" count="1" selected="0">
            <x v="1"/>
          </reference>
          <reference field="0" count="1" selected="0">
            <x v="66"/>
          </reference>
        </references>
      </pivotArea>
    </chartFormat>
    <chartFormat chart="5" format="56">
      <pivotArea type="data" outline="0" fieldPosition="0">
        <references count="2">
          <reference field="4294967294" count="1" selected="0">
            <x v="1"/>
          </reference>
          <reference field="0" count="1" selected="0">
            <x v="83"/>
          </reference>
        </references>
      </pivotArea>
    </chartFormat>
    <chartFormat chart="5" format="57">
      <pivotArea type="data" outline="0" fieldPosition="0">
        <references count="2">
          <reference field="4294967294" count="1" selected="0">
            <x v="1"/>
          </reference>
          <reference field="0" count="1" selected="0">
            <x v="86"/>
          </reference>
        </references>
      </pivotArea>
    </chartFormat>
    <chartFormat chart="5" format="58" series="1">
      <pivotArea type="data" outline="0" fieldPosition="0">
        <references count="1">
          <reference field="4294967294" count="1" selected="0">
            <x v="2"/>
          </reference>
        </references>
      </pivotArea>
    </chartFormat>
    <chartFormat chart="5" format="59">
      <pivotArea type="data" outline="0" fieldPosition="0">
        <references count="2">
          <reference field="4294967294" count="1" selected="0">
            <x v="2"/>
          </reference>
          <reference field="0" count="1" selected="0">
            <x v="22"/>
          </reference>
        </references>
      </pivotArea>
    </chartFormat>
    <chartFormat chart="5" format="60">
      <pivotArea type="data" outline="0" fieldPosition="0">
        <references count="2">
          <reference field="4294967294" count="1" selected="0">
            <x v="2"/>
          </reference>
          <reference field="0" count="1" selected="0">
            <x v="38"/>
          </reference>
        </references>
      </pivotArea>
    </chartFormat>
    <chartFormat chart="5" format="61">
      <pivotArea type="data" outline="0" fieldPosition="0">
        <references count="2">
          <reference field="4294967294" count="1" selected="0">
            <x v="2"/>
          </reference>
          <reference field="0" count="1" selected="0">
            <x v="41"/>
          </reference>
        </references>
      </pivotArea>
    </chartFormat>
    <chartFormat chart="5" format="62">
      <pivotArea type="data" outline="0" fieldPosition="0">
        <references count="2">
          <reference field="4294967294" count="1" selected="0">
            <x v="2"/>
          </reference>
          <reference field="0" count="1" selected="0">
            <x v="49"/>
          </reference>
        </references>
      </pivotArea>
    </chartFormat>
    <chartFormat chart="5" format="63">
      <pivotArea type="data" outline="0" fieldPosition="0">
        <references count="2">
          <reference field="4294967294" count="1" selected="0">
            <x v="2"/>
          </reference>
          <reference field="0" count="1" selected="0">
            <x v="53"/>
          </reference>
        </references>
      </pivotArea>
    </chartFormat>
    <chartFormat chart="5" format="64">
      <pivotArea type="data" outline="0" fieldPosition="0">
        <references count="2">
          <reference field="4294967294" count="1" selected="0">
            <x v="2"/>
          </reference>
          <reference field="0" count="1" selected="0">
            <x v="61"/>
          </reference>
        </references>
      </pivotArea>
    </chartFormat>
    <chartFormat chart="5" format="65">
      <pivotArea type="data" outline="0" fieldPosition="0">
        <references count="2">
          <reference field="4294967294" count="1" selected="0">
            <x v="2"/>
          </reference>
          <reference field="0" count="1" selected="0">
            <x v="64"/>
          </reference>
        </references>
      </pivotArea>
    </chartFormat>
    <chartFormat chart="5" format="66">
      <pivotArea type="data" outline="0" fieldPosition="0">
        <references count="2">
          <reference field="4294967294" count="1" selected="0">
            <x v="2"/>
          </reference>
          <reference field="0" count="1" selected="0">
            <x v="66"/>
          </reference>
        </references>
      </pivotArea>
    </chartFormat>
    <chartFormat chart="5" format="67">
      <pivotArea type="data" outline="0" fieldPosition="0">
        <references count="2">
          <reference field="4294967294" count="1" selected="0">
            <x v="2"/>
          </reference>
          <reference field="0" count="1" selected="0">
            <x v="83"/>
          </reference>
        </references>
      </pivotArea>
    </chartFormat>
    <chartFormat chart="5" format="68">
      <pivotArea type="data" outline="0" fieldPosition="0">
        <references count="2">
          <reference field="4294967294" count="1" selected="0">
            <x v="2"/>
          </reference>
          <reference field="0" count="1" selected="0">
            <x v="86"/>
          </reference>
        </references>
      </pivotArea>
    </chartFormat>
    <chartFormat chart="1" format="3">
      <pivotArea type="data" outline="0" fieldPosition="0">
        <references count="2">
          <reference field="4294967294" count="1" selected="0">
            <x v="0"/>
          </reference>
          <reference field="0" count="1" selected="0">
            <x v="22"/>
          </reference>
        </references>
      </pivotArea>
    </chartFormat>
    <chartFormat chart="1" format="4">
      <pivotArea type="data" outline="0" fieldPosition="0">
        <references count="2">
          <reference field="4294967294" count="1" selected="0">
            <x v="0"/>
          </reference>
          <reference field="0" count="1" selected="0">
            <x v="38"/>
          </reference>
        </references>
      </pivotArea>
    </chartFormat>
    <chartFormat chart="1" format="5">
      <pivotArea type="data" outline="0" fieldPosition="0">
        <references count="2">
          <reference field="4294967294" count="1" selected="0">
            <x v="0"/>
          </reference>
          <reference field="0" count="1" selected="0">
            <x v="41"/>
          </reference>
        </references>
      </pivotArea>
    </chartFormat>
    <chartFormat chart="1" format="6">
      <pivotArea type="data" outline="0" fieldPosition="0">
        <references count="2">
          <reference field="4294967294" count="1" selected="0">
            <x v="0"/>
          </reference>
          <reference field="0" count="1" selected="0">
            <x v="49"/>
          </reference>
        </references>
      </pivotArea>
    </chartFormat>
    <chartFormat chart="1" format="7">
      <pivotArea type="data" outline="0" fieldPosition="0">
        <references count="2">
          <reference field="4294967294" count="1" selected="0">
            <x v="0"/>
          </reference>
          <reference field="0" count="1" selected="0">
            <x v="53"/>
          </reference>
        </references>
      </pivotArea>
    </chartFormat>
    <chartFormat chart="1" format="8">
      <pivotArea type="data" outline="0" fieldPosition="0">
        <references count="2">
          <reference field="4294967294" count="1" selected="0">
            <x v="0"/>
          </reference>
          <reference field="0" count="1" selected="0">
            <x v="61"/>
          </reference>
        </references>
      </pivotArea>
    </chartFormat>
    <chartFormat chart="1" format="9">
      <pivotArea type="data" outline="0" fieldPosition="0">
        <references count="2">
          <reference field="4294967294" count="1" selected="0">
            <x v="0"/>
          </reference>
          <reference field="0" count="1" selected="0">
            <x v="64"/>
          </reference>
        </references>
      </pivotArea>
    </chartFormat>
    <chartFormat chart="1" format="10">
      <pivotArea type="data" outline="0" fieldPosition="0">
        <references count="2">
          <reference field="4294967294" count="1" selected="0">
            <x v="0"/>
          </reference>
          <reference field="0" count="1" selected="0">
            <x v="66"/>
          </reference>
        </references>
      </pivotArea>
    </chartFormat>
    <chartFormat chart="1" format="11">
      <pivotArea type="data" outline="0" fieldPosition="0">
        <references count="2">
          <reference field="4294967294" count="1" selected="0">
            <x v="0"/>
          </reference>
          <reference field="0" count="1" selected="0">
            <x v="83"/>
          </reference>
        </references>
      </pivotArea>
    </chartFormat>
    <chartFormat chart="1" format="12">
      <pivotArea type="data" outline="0" fieldPosition="0">
        <references count="2">
          <reference field="4294967294" count="1" selected="0">
            <x v="0"/>
          </reference>
          <reference field="0" count="1" selected="0">
            <x v="86"/>
          </reference>
        </references>
      </pivotArea>
    </chartFormat>
    <chartFormat chart="1" format="13">
      <pivotArea type="data" outline="0" fieldPosition="0">
        <references count="2">
          <reference field="4294967294" count="1" selected="0">
            <x v="1"/>
          </reference>
          <reference field="0" count="1" selected="0">
            <x v="22"/>
          </reference>
        </references>
      </pivotArea>
    </chartFormat>
    <chartFormat chart="1" format="14">
      <pivotArea type="data" outline="0" fieldPosition="0">
        <references count="2">
          <reference field="4294967294" count="1" selected="0">
            <x v="1"/>
          </reference>
          <reference field="0" count="1" selected="0">
            <x v="38"/>
          </reference>
        </references>
      </pivotArea>
    </chartFormat>
    <chartFormat chart="1" format="15">
      <pivotArea type="data" outline="0" fieldPosition="0">
        <references count="2">
          <reference field="4294967294" count="1" selected="0">
            <x v="1"/>
          </reference>
          <reference field="0" count="1" selected="0">
            <x v="41"/>
          </reference>
        </references>
      </pivotArea>
    </chartFormat>
    <chartFormat chart="1" format="16">
      <pivotArea type="data" outline="0" fieldPosition="0">
        <references count="2">
          <reference field="4294967294" count="1" selected="0">
            <x v="1"/>
          </reference>
          <reference field="0" count="1" selected="0">
            <x v="49"/>
          </reference>
        </references>
      </pivotArea>
    </chartFormat>
    <chartFormat chart="1" format="17">
      <pivotArea type="data" outline="0" fieldPosition="0">
        <references count="2">
          <reference field="4294967294" count="1" selected="0">
            <x v="1"/>
          </reference>
          <reference field="0" count="1" selected="0">
            <x v="53"/>
          </reference>
        </references>
      </pivotArea>
    </chartFormat>
    <chartFormat chart="1" format="18">
      <pivotArea type="data" outline="0" fieldPosition="0">
        <references count="2">
          <reference field="4294967294" count="1" selected="0">
            <x v="1"/>
          </reference>
          <reference field="0" count="1" selected="0">
            <x v="61"/>
          </reference>
        </references>
      </pivotArea>
    </chartFormat>
    <chartFormat chart="1" format="19">
      <pivotArea type="data" outline="0" fieldPosition="0">
        <references count="2">
          <reference field="4294967294" count="1" selected="0">
            <x v="1"/>
          </reference>
          <reference field="0" count="1" selected="0">
            <x v="64"/>
          </reference>
        </references>
      </pivotArea>
    </chartFormat>
    <chartFormat chart="1" format="20">
      <pivotArea type="data" outline="0" fieldPosition="0">
        <references count="2">
          <reference field="4294967294" count="1" selected="0">
            <x v="1"/>
          </reference>
          <reference field="0" count="1" selected="0">
            <x v="66"/>
          </reference>
        </references>
      </pivotArea>
    </chartFormat>
    <chartFormat chart="1" format="21">
      <pivotArea type="data" outline="0" fieldPosition="0">
        <references count="2">
          <reference field="4294967294" count="1" selected="0">
            <x v="1"/>
          </reference>
          <reference field="0" count="1" selected="0">
            <x v="83"/>
          </reference>
        </references>
      </pivotArea>
    </chartFormat>
    <chartFormat chart="1" format="22">
      <pivotArea type="data" outline="0" fieldPosition="0">
        <references count="2">
          <reference field="4294967294" count="1" selected="0">
            <x v="1"/>
          </reference>
          <reference field="0" count="1" selected="0">
            <x v="86"/>
          </reference>
        </references>
      </pivotArea>
    </chartFormat>
    <chartFormat chart="1" format="23">
      <pivotArea type="data" outline="0" fieldPosition="0">
        <references count="2">
          <reference field="4294967294" count="1" selected="0">
            <x v="2"/>
          </reference>
          <reference field="0" count="1" selected="0">
            <x v="22"/>
          </reference>
        </references>
      </pivotArea>
    </chartFormat>
    <chartFormat chart="1" format="24">
      <pivotArea type="data" outline="0" fieldPosition="0">
        <references count="2">
          <reference field="4294967294" count="1" selected="0">
            <x v="2"/>
          </reference>
          <reference field="0" count="1" selected="0">
            <x v="38"/>
          </reference>
        </references>
      </pivotArea>
    </chartFormat>
    <chartFormat chart="1" format="25">
      <pivotArea type="data" outline="0" fieldPosition="0">
        <references count="2">
          <reference field="4294967294" count="1" selected="0">
            <x v="2"/>
          </reference>
          <reference field="0" count="1" selected="0">
            <x v="41"/>
          </reference>
        </references>
      </pivotArea>
    </chartFormat>
    <chartFormat chart="1" format="26">
      <pivotArea type="data" outline="0" fieldPosition="0">
        <references count="2">
          <reference field="4294967294" count="1" selected="0">
            <x v="2"/>
          </reference>
          <reference field="0" count="1" selected="0">
            <x v="49"/>
          </reference>
        </references>
      </pivotArea>
    </chartFormat>
    <chartFormat chart="1" format="27">
      <pivotArea type="data" outline="0" fieldPosition="0">
        <references count="2">
          <reference field="4294967294" count="1" selected="0">
            <x v="2"/>
          </reference>
          <reference field="0" count="1" selected="0">
            <x v="53"/>
          </reference>
        </references>
      </pivotArea>
    </chartFormat>
    <chartFormat chart="1" format="28">
      <pivotArea type="data" outline="0" fieldPosition="0">
        <references count="2">
          <reference field="4294967294" count="1" selected="0">
            <x v="2"/>
          </reference>
          <reference field="0" count="1" selected="0">
            <x v="61"/>
          </reference>
        </references>
      </pivotArea>
    </chartFormat>
    <chartFormat chart="1" format="29">
      <pivotArea type="data" outline="0" fieldPosition="0">
        <references count="2">
          <reference field="4294967294" count="1" selected="0">
            <x v="2"/>
          </reference>
          <reference field="0" count="1" selected="0">
            <x v="64"/>
          </reference>
        </references>
      </pivotArea>
    </chartFormat>
    <chartFormat chart="1" format="30">
      <pivotArea type="data" outline="0" fieldPosition="0">
        <references count="2">
          <reference field="4294967294" count="1" selected="0">
            <x v="2"/>
          </reference>
          <reference field="0" count="1" selected="0">
            <x v="66"/>
          </reference>
        </references>
      </pivotArea>
    </chartFormat>
    <chartFormat chart="1" format="31">
      <pivotArea type="data" outline="0" fieldPosition="0">
        <references count="2">
          <reference field="4294967294" count="1" selected="0">
            <x v="2"/>
          </reference>
          <reference field="0" count="1" selected="0">
            <x v="83"/>
          </reference>
        </references>
      </pivotArea>
    </chartFormat>
    <chartFormat chart="1" format="32">
      <pivotArea type="data" outline="0" fieldPosition="0">
        <references count="2">
          <reference field="4294967294" count="1" selected="0">
            <x v="2"/>
          </reference>
          <reference field="0" count="1" selected="0">
            <x v="8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2C8213-55AE-4F35-AA0A-A5ACB7B3B0C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location ref="A3:C51" firstHeaderRow="0" firstDataRow="1" firstDataCol="1"/>
  <pivotFields count="15">
    <pivotField axis="axisRow" showAll="0">
      <items count="106">
        <item x="10"/>
        <item x="52"/>
        <item x="9"/>
        <item x="40"/>
        <item x="35"/>
        <item x="56"/>
        <item x="87"/>
        <item x="14"/>
        <item x="55"/>
        <item x="88"/>
        <item x="99"/>
        <item x="44"/>
        <item x="103"/>
        <item x="62"/>
        <item x="82"/>
        <item x="72"/>
        <item x="16"/>
        <item x="27"/>
        <item x="53"/>
        <item x="75"/>
        <item x="39"/>
        <item x="67"/>
        <item x="34"/>
        <item x="63"/>
        <item x="77"/>
        <item x="25"/>
        <item x="47"/>
        <item x="50"/>
        <item x="48"/>
        <item x="83"/>
        <item x="38"/>
        <item x="57"/>
        <item x="86"/>
        <item x="65"/>
        <item x="20"/>
        <item x="78"/>
        <item x="80"/>
        <item x="46"/>
        <item x="7"/>
        <item x="21"/>
        <item x="68"/>
        <item x="1"/>
        <item x="73"/>
        <item x="60"/>
        <item x="64"/>
        <item x="66"/>
        <item x="85"/>
        <item x="59"/>
        <item x="69"/>
        <item x="6"/>
        <item x="94"/>
        <item x="79"/>
        <item x="11"/>
        <item x="4"/>
        <item x="28"/>
        <item x="54"/>
        <item x="30"/>
        <item x="42"/>
        <item x="36"/>
        <item x="2"/>
        <item x="43"/>
        <item x="5"/>
        <item x="17"/>
        <item x="26"/>
        <item x="12"/>
        <item x="23"/>
        <item x="13"/>
        <item x="81"/>
        <item x="31"/>
        <item x="24"/>
        <item x="84"/>
        <item x="19"/>
        <item x="3"/>
        <item x="41"/>
        <item x="95"/>
        <item x="58"/>
        <item x="32"/>
        <item x="76"/>
        <item x="74"/>
        <item x="96"/>
        <item x="33"/>
        <item x="90"/>
        <item x="92"/>
        <item x="8"/>
        <item x="98"/>
        <item x="89"/>
        <item x="18"/>
        <item x="49"/>
        <item x="100"/>
        <item x="37"/>
        <item x="70"/>
        <item x="51"/>
        <item x="71"/>
        <item x="97"/>
        <item x="101"/>
        <item x="102"/>
        <item x="45"/>
        <item x="61"/>
        <item x="93"/>
        <item x="0"/>
        <item x="91"/>
        <item x="22"/>
        <item x="29"/>
        <item x="15"/>
        <item x="104"/>
        <item t="default"/>
      </items>
    </pivotField>
    <pivotField showAll="0"/>
    <pivotField showAll="0"/>
    <pivotField dataField="1"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dataField="1" showAll="0">
      <items count="27">
        <item x="23"/>
        <item h="1" x="0"/>
        <item h="1" x="1"/>
        <item h="1" x="2"/>
        <item h="1" x="3"/>
        <item h="1" x="4"/>
        <item h="1" x="5"/>
        <item h="1" x="6"/>
        <item h="1" x="7"/>
        <item h="1" x="8"/>
        <item h="1" x="9"/>
        <item h="1" x="10"/>
        <item h="1" x="11"/>
        <item h="1" x="12"/>
        <item h="1" x="13"/>
        <item h="1" x="14"/>
        <item h="1" x="15"/>
        <item h="1" x="16"/>
        <item h="1" x="17"/>
        <item h="1" x="18"/>
        <item h="1" x="19"/>
        <item h="1" x="20"/>
        <item h="1" x="21"/>
        <item h="1" x="22"/>
        <item h="1" x="24"/>
        <item h="1" x="25"/>
        <item t="default"/>
      </items>
    </pivotField>
  </pivotFields>
  <rowFields count="1">
    <field x="0"/>
  </rowFields>
  <rowItems count="48">
    <i>
      <x v="6"/>
    </i>
    <i>
      <x v="9"/>
    </i>
    <i>
      <x v="10"/>
    </i>
    <i>
      <x v="12"/>
    </i>
    <i>
      <x v="13"/>
    </i>
    <i>
      <x v="14"/>
    </i>
    <i>
      <x v="15"/>
    </i>
    <i>
      <x v="19"/>
    </i>
    <i>
      <x v="21"/>
    </i>
    <i>
      <x v="23"/>
    </i>
    <i>
      <x v="24"/>
    </i>
    <i>
      <x v="29"/>
    </i>
    <i>
      <x v="31"/>
    </i>
    <i>
      <x v="32"/>
    </i>
    <i>
      <x v="33"/>
    </i>
    <i>
      <x v="35"/>
    </i>
    <i>
      <x v="36"/>
    </i>
    <i>
      <x v="40"/>
    </i>
    <i>
      <x v="42"/>
    </i>
    <i>
      <x v="43"/>
    </i>
    <i>
      <x v="44"/>
    </i>
    <i>
      <x v="45"/>
    </i>
    <i>
      <x v="46"/>
    </i>
    <i>
      <x v="47"/>
    </i>
    <i>
      <x v="48"/>
    </i>
    <i>
      <x v="50"/>
    </i>
    <i>
      <x v="51"/>
    </i>
    <i>
      <x v="67"/>
    </i>
    <i>
      <x v="70"/>
    </i>
    <i>
      <x v="74"/>
    </i>
    <i>
      <x v="75"/>
    </i>
    <i>
      <x v="77"/>
    </i>
    <i>
      <x v="78"/>
    </i>
    <i>
      <x v="79"/>
    </i>
    <i>
      <x v="81"/>
    </i>
    <i>
      <x v="82"/>
    </i>
    <i>
      <x v="84"/>
    </i>
    <i>
      <x v="85"/>
    </i>
    <i>
      <x v="88"/>
    </i>
    <i>
      <x v="90"/>
    </i>
    <i>
      <x v="92"/>
    </i>
    <i>
      <x v="93"/>
    </i>
    <i>
      <x v="94"/>
    </i>
    <i>
      <x v="95"/>
    </i>
    <i>
      <x v="97"/>
    </i>
    <i>
      <x v="98"/>
    </i>
    <i>
      <x v="100"/>
    </i>
    <i t="grand">
      <x/>
    </i>
  </rowItems>
  <colFields count="1">
    <field x="-2"/>
  </colFields>
  <colItems count="2">
    <i>
      <x/>
    </i>
    <i i="1">
      <x v="1"/>
    </i>
  </colItems>
  <dataFields count="2">
    <dataField name="Sum of Discount" fld="3" baseField="0" baseItem="0"/>
    <dataField name="Sum of Absolute" fld="14" baseField="0" baseItem="0"/>
  </dataFields>
  <formats count="8">
    <format dxfId="72">
      <pivotArea type="all" dataOnly="0" outline="0" fieldPosition="0"/>
    </format>
    <format dxfId="71">
      <pivotArea outline="0" collapsedLevelsAreSubtotals="1" fieldPosition="0"/>
    </format>
    <format dxfId="70">
      <pivotArea field="0" type="button" dataOnly="0" labelOnly="1" outline="0" axis="axisRow" fieldPosition="0"/>
    </format>
    <format dxfId="6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7">
      <pivotArea dataOnly="0" labelOnly="1" fieldPosition="0">
        <references count="1">
          <reference field="0" count="5">
            <x v="100"/>
            <x v="101"/>
            <x v="102"/>
            <x v="103"/>
            <x v="104"/>
          </reference>
        </references>
      </pivotArea>
    </format>
    <format dxfId="66">
      <pivotArea dataOnly="0" labelOnly="1" grandRow="1" outline="0" fieldPosition="0"/>
    </format>
    <format dxfId="6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solute" xr10:uid="{D436D66E-25F8-49EB-BE47-DF6EA041DFEB}" sourceName="Absolute">
  <pivotTables>
    <pivotTable tabId="6" name="PivotTable2"/>
    <pivotTable tabId="10" name="PivotTable25"/>
    <pivotTable tabId="7" name="PivotTable3"/>
  </pivotTables>
  <data>
    <tabular pivotCacheId="854510365">
      <items count="26">
        <i x="23" s="1"/>
        <i x="0"/>
        <i x="1"/>
        <i x="2"/>
        <i x="3"/>
        <i x="4"/>
        <i x="5"/>
        <i x="6"/>
        <i x="7"/>
        <i x="8"/>
        <i x="9"/>
        <i x="10"/>
        <i x="11"/>
        <i x="12"/>
        <i x="13"/>
        <i x="14"/>
        <i x="15"/>
        <i x="16"/>
        <i x="17"/>
        <i x="18"/>
        <i x="19"/>
        <i x="20"/>
        <i x="21"/>
        <i x="22"/>
        <i x="24"/>
        <i x="2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 xr10:uid="{B9DB1E0A-F4A7-4F4D-98A0-A12BB71D3EA9}" sourceName="Discount cat">
  <pivotTables>
    <pivotTable tabId="6" name="PivotTable2"/>
    <pivotTable tabId="10" name="PivotTable25"/>
    <pivotTable tabId="7" name="PivotTable3"/>
  </pivotTables>
  <data>
    <tabular pivotCacheId="854510365">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F792FCC-A39A-464E-8B25-05BDC817F151}" sourceName="Product">
  <pivotTables>
    <pivotTable tabId="6" name="PivotTable2"/>
    <pivotTable tabId="10" name="PivotTable25"/>
    <pivotTable tabId="7" name="PivotTable3"/>
  </pivotTables>
  <data>
    <tabular pivotCacheId="854510365">
      <items count="105">
        <i x="87" s="1"/>
        <i x="88" s="1"/>
        <i x="99" s="1"/>
        <i x="103" s="1"/>
        <i x="62" s="1"/>
        <i x="82" s="1"/>
        <i x="72" s="1"/>
        <i x="75" s="1"/>
        <i x="67" s="1"/>
        <i x="63" s="1"/>
        <i x="77" s="1"/>
        <i x="83" s="1"/>
        <i x="57" s="1"/>
        <i x="86" s="1"/>
        <i x="65" s="1"/>
        <i x="78" s="1"/>
        <i x="80" s="1"/>
        <i x="68" s="1"/>
        <i x="73" s="1"/>
        <i x="60" s="1"/>
        <i x="64" s="1"/>
        <i x="66" s="1"/>
        <i x="85" s="1"/>
        <i x="59" s="1"/>
        <i x="69" s="1"/>
        <i x="94" s="1"/>
        <i x="79" s="1"/>
        <i x="81" s="1"/>
        <i x="84" s="1"/>
        <i x="95" s="1"/>
        <i x="58" s="1"/>
        <i x="76" s="1"/>
        <i x="74" s="1"/>
        <i x="96" s="1"/>
        <i x="90" s="1"/>
        <i x="92" s="1"/>
        <i x="98" s="1"/>
        <i x="89" s="1"/>
        <i x="100" s="1"/>
        <i x="70" s="1"/>
        <i x="71" s="1"/>
        <i x="97" s="1"/>
        <i x="101" s="1"/>
        <i x="102" s="1"/>
        <i x="61" s="1"/>
        <i x="93" s="1"/>
        <i x="91" s="1"/>
        <i x="10" s="1" nd="1"/>
        <i x="52" s="1" nd="1"/>
        <i x="9" s="1" nd="1"/>
        <i x="40" s="1" nd="1"/>
        <i x="35" s="1" nd="1"/>
        <i x="56" s="1" nd="1"/>
        <i x="14" s="1" nd="1"/>
        <i x="55" s="1" nd="1"/>
        <i x="44" s="1" nd="1"/>
        <i x="16" s="1" nd="1"/>
        <i x="27" s="1" nd="1"/>
        <i x="53" s="1" nd="1"/>
        <i x="39" s="1" nd="1"/>
        <i x="34" s="1" nd="1"/>
        <i x="25" s="1" nd="1"/>
        <i x="47" s="1" nd="1"/>
        <i x="50" s="1" nd="1"/>
        <i x="48" s="1" nd="1"/>
        <i x="38" s="1" nd="1"/>
        <i x="20" s="1" nd="1"/>
        <i x="46" s="1" nd="1"/>
        <i x="7" s="1" nd="1"/>
        <i x="21" s="1" nd="1"/>
        <i x="1" s="1" nd="1"/>
        <i x="6" s="1" nd="1"/>
        <i x="11" s="1" nd="1"/>
        <i x="4" s="1" nd="1"/>
        <i x="28" s="1" nd="1"/>
        <i x="54" s="1" nd="1"/>
        <i x="30" s="1" nd="1"/>
        <i x="42" s="1" nd="1"/>
        <i x="36" s="1" nd="1"/>
        <i x="2" s="1" nd="1"/>
        <i x="43" s="1" nd="1"/>
        <i x="5" s="1" nd="1"/>
        <i x="17" s="1" nd="1"/>
        <i x="26" s="1" nd="1"/>
        <i x="12" s="1" nd="1"/>
        <i x="23" s="1" nd="1"/>
        <i x="13" s="1" nd="1"/>
        <i x="31" s="1" nd="1"/>
        <i x="24" s="1" nd="1"/>
        <i x="19" s="1" nd="1"/>
        <i x="3" s="1" nd="1"/>
        <i x="41" s="1" nd="1"/>
        <i x="32" s="1" nd="1"/>
        <i x="33" s="1" nd="1"/>
        <i x="8" s="1" nd="1"/>
        <i x="18" s="1" nd="1"/>
        <i x="49" s="1" nd="1"/>
        <i x="37" s="1" nd="1"/>
        <i x="51" s="1" nd="1"/>
        <i x="45" s="1" nd="1"/>
        <i x="0" s="1" nd="1"/>
        <i x="22" s="1" nd="1"/>
        <i x="29" s="1" nd="1"/>
        <i x="15" s="1" nd="1"/>
        <i x="10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solute" xr10:uid="{67275E02-313C-4990-BE73-BD0F11D161E6}" cache="Slicer_Absolute" caption="Absolute" rowHeight="251883"/>
  <slicer name="Discount cat" xr10:uid="{11FB944F-2766-4A0B-8F20-F0C90EC29941}" cache="Slicer_Discount_cat" caption="Discount cat" rowHeight="251883"/>
  <slicer name="Product" xr10:uid="{7325953C-1A61-460A-8AA8-748DF4CA9811}" cache="Slicer_Product" caption="Prod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2E7F5-B700-4FBB-958B-68D346E40850}">
  <dimension ref="A1:F116"/>
  <sheetViews>
    <sheetView workbookViewId="0">
      <selection activeCell="A117" sqref="A117"/>
    </sheetView>
  </sheetViews>
  <sheetFormatPr defaultRowHeight="15"/>
  <cols>
    <col min="1" max="1" width="95" bestFit="1" customWidth="1"/>
    <col min="2" max="3" width="19.42578125" bestFit="1" customWidth="1"/>
    <col min="4" max="4" width="8.85546875" bestFit="1" customWidth="1"/>
    <col min="5" max="5" width="7" bestFit="1" customWidth="1"/>
    <col min="6" max="6" width="10.42578125" bestFit="1" customWidth="1"/>
  </cols>
  <sheetData>
    <row r="1" spans="1:6">
      <c r="A1" t="s">
        <v>0</v>
      </c>
      <c r="B1" t="s">
        <v>1</v>
      </c>
      <c r="C1" t="s">
        <v>2</v>
      </c>
      <c r="D1" t="s">
        <v>3</v>
      </c>
      <c r="E1" t="s">
        <v>4</v>
      </c>
      <c r="F1" t="s">
        <v>5</v>
      </c>
    </row>
    <row r="2" spans="1:6">
      <c r="A2" t="s">
        <v>6</v>
      </c>
      <c r="B2" t="s">
        <v>7</v>
      </c>
      <c r="C2" t="s">
        <v>8</v>
      </c>
      <c r="D2" s="1">
        <v>0.38</v>
      </c>
      <c r="E2">
        <v>-2</v>
      </c>
      <c r="F2" t="s">
        <v>9</v>
      </c>
    </row>
    <row r="3" spans="1:6">
      <c r="A3" t="s">
        <v>10</v>
      </c>
      <c r="B3" t="s">
        <v>11</v>
      </c>
      <c r="C3" t="s">
        <v>12</v>
      </c>
      <c r="D3" s="1">
        <v>0.47</v>
      </c>
      <c r="E3">
        <v>-14</v>
      </c>
      <c r="F3" t="s">
        <v>13</v>
      </c>
    </row>
    <row r="4" spans="1:6">
      <c r="A4" t="s">
        <v>14</v>
      </c>
      <c r="B4" t="s">
        <v>15</v>
      </c>
      <c r="C4" t="s">
        <v>16</v>
      </c>
      <c r="D4" s="1">
        <v>0.25</v>
      </c>
      <c r="E4">
        <v>-24</v>
      </c>
      <c r="F4" t="s">
        <v>17</v>
      </c>
    </row>
    <row r="5" spans="1:6">
      <c r="A5" t="s">
        <v>18</v>
      </c>
      <c r="B5" t="s">
        <v>19</v>
      </c>
      <c r="C5" t="s">
        <v>20</v>
      </c>
      <c r="D5" s="1">
        <v>0.37</v>
      </c>
      <c r="E5">
        <v>-7</v>
      </c>
      <c r="F5" t="s">
        <v>21</v>
      </c>
    </row>
    <row r="6" spans="1:6">
      <c r="A6" t="s">
        <v>22</v>
      </c>
      <c r="B6" t="s">
        <v>23</v>
      </c>
      <c r="C6" t="s">
        <v>24</v>
      </c>
      <c r="D6" s="1">
        <v>0.26</v>
      </c>
      <c r="E6">
        <v>-5</v>
      </c>
      <c r="F6" t="s">
        <v>25</v>
      </c>
    </row>
    <row r="7" spans="1:6">
      <c r="A7" t="s">
        <v>26</v>
      </c>
      <c r="B7" t="s">
        <v>27</v>
      </c>
      <c r="C7" t="s">
        <v>28</v>
      </c>
      <c r="D7" s="1">
        <v>0.09</v>
      </c>
      <c r="E7">
        <v>-15</v>
      </c>
      <c r="F7" t="s">
        <v>29</v>
      </c>
    </row>
    <row r="8" spans="1:6">
      <c r="A8" t="s">
        <v>30</v>
      </c>
      <c r="B8" t="s">
        <v>31</v>
      </c>
      <c r="C8" t="s">
        <v>32</v>
      </c>
      <c r="D8" s="1">
        <v>0.24</v>
      </c>
      <c r="E8">
        <v>-55</v>
      </c>
      <c r="F8" t="s">
        <v>17</v>
      </c>
    </row>
    <row r="9" spans="1:6">
      <c r="A9" t="s">
        <v>33</v>
      </c>
      <c r="B9" t="s">
        <v>34</v>
      </c>
      <c r="C9" t="s">
        <v>19</v>
      </c>
      <c r="D9" s="1">
        <v>0.37</v>
      </c>
      <c r="E9">
        <v>-2</v>
      </c>
      <c r="F9" t="s">
        <v>29</v>
      </c>
    </row>
    <row r="10" spans="1:6">
      <c r="A10" t="s">
        <v>35</v>
      </c>
      <c r="B10" t="s">
        <v>36</v>
      </c>
      <c r="C10" t="s">
        <v>37</v>
      </c>
      <c r="D10" s="1">
        <v>0.55000000000000004</v>
      </c>
      <c r="E10">
        <v>-5</v>
      </c>
      <c r="F10" t="s">
        <v>25</v>
      </c>
    </row>
    <row r="11" spans="1:6">
      <c r="A11" t="s">
        <v>38</v>
      </c>
      <c r="B11" t="s">
        <v>39</v>
      </c>
      <c r="C11" t="s">
        <v>40</v>
      </c>
      <c r="D11" s="1">
        <v>0.45</v>
      </c>
      <c r="E11">
        <v>-5</v>
      </c>
      <c r="F11" t="s">
        <v>41</v>
      </c>
    </row>
    <row r="12" spans="1:6">
      <c r="A12" t="s">
        <v>42</v>
      </c>
      <c r="B12" t="s">
        <v>43</v>
      </c>
      <c r="C12" t="s">
        <v>12</v>
      </c>
      <c r="D12" s="1">
        <v>0.2</v>
      </c>
      <c r="E12">
        <v>-12</v>
      </c>
      <c r="F12" t="s">
        <v>13</v>
      </c>
    </row>
    <row r="13" spans="1:6">
      <c r="A13" t="s">
        <v>44</v>
      </c>
      <c r="B13" t="s">
        <v>45</v>
      </c>
      <c r="C13" t="s">
        <v>46</v>
      </c>
      <c r="D13" s="1">
        <v>0.34</v>
      </c>
      <c r="E13">
        <v>-39</v>
      </c>
      <c r="F13" t="s">
        <v>21</v>
      </c>
    </row>
    <row r="14" spans="1:6">
      <c r="A14" t="s">
        <v>47</v>
      </c>
      <c r="B14" t="s">
        <v>48</v>
      </c>
      <c r="C14" t="s">
        <v>49</v>
      </c>
      <c r="D14" s="1">
        <v>0.47</v>
      </c>
      <c r="E14">
        <v>-12</v>
      </c>
      <c r="F14" t="s">
        <v>25</v>
      </c>
    </row>
    <row r="15" spans="1:6">
      <c r="A15" t="s">
        <v>50</v>
      </c>
      <c r="B15" t="s">
        <v>51</v>
      </c>
      <c r="C15" t="s">
        <v>52</v>
      </c>
      <c r="D15" s="1">
        <v>0.42</v>
      </c>
      <c r="E15">
        <v>-6</v>
      </c>
      <c r="F15" t="s">
        <v>9</v>
      </c>
    </row>
    <row r="16" spans="1:6">
      <c r="A16" t="s">
        <v>53</v>
      </c>
      <c r="B16" t="s">
        <v>54</v>
      </c>
      <c r="C16" t="s">
        <v>20</v>
      </c>
      <c r="D16" s="1">
        <v>0.33</v>
      </c>
      <c r="E16">
        <v>-9</v>
      </c>
      <c r="F16" t="s">
        <v>55</v>
      </c>
    </row>
    <row r="17" spans="1:6">
      <c r="A17" t="s">
        <v>56</v>
      </c>
      <c r="B17" t="s">
        <v>57</v>
      </c>
      <c r="C17" t="s">
        <v>58</v>
      </c>
      <c r="D17" s="1">
        <v>0.51</v>
      </c>
      <c r="E17">
        <v>-2</v>
      </c>
      <c r="F17" t="s">
        <v>59</v>
      </c>
    </row>
    <row r="18" spans="1:6">
      <c r="A18" t="s">
        <v>60</v>
      </c>
      <c r="B18" t="s">
        <v>61</v>
      </c>
      <c r="C18" t="s">
        <v>62</v>
      </c>
      <c r="D18" s="1">
        <v>0.46</v>
      </c>
      <c r="E18">
        <v>-2</v>
      </c>
      <c r="F18" t="s">
        <v>59</v>
      </c>
    </row>
    <row r="19" spans="1:6">
      <c r="A19" t="s">
        <v>63</v>
      </c>
      <c r="B19" t="s">
        <v>64</v>
      </c>
      <c r="C19" t="s">
        <v>65</v>
      </c>
      <c r="D19" s="1">
        <v>0.49</v>
      </c>
      <c r="E19">
        <v>-3</v>
      </c>
      <c r="F19" t="s">
        <v>59</v>
      </c>
    </row>
    <row r="20" spans="1:6">
      <c r="A20" t="s">
        <v>66</v>
      </c>
      <c r="B20" t="s">
        <v>27</v>
      </c>
      <c r="C20" t="s">
        <v>67</v>
      </c>
      <c r="D20" s="1">
        <v>0.19</v>
      </c>
      <c r="E20">
        <v>-5</v>
      </c>
      <c r="F20" t="s">
        <v>17</v>
      </c>
    </row>
    <row r="21" spans="1:6">
      <c r="A21" t="s">
        <v>68</v>
      </c>
      <c r="B21" t="s">
        <v>69</v>
      </c>
      <c r="C21" t="s">
        <v>70</v>
      </c>
      <c r="D21" s="1">
        <v>0.49</v>
      </c>
      <c r="E21">
        <v>-44</v>
      </c>
      <c r="F21" t="s">
        <v>17</v>
      </c>
    </row>
    <row r="22" spans="1:6">
      <c r="A22" t="s">
        <v>71</v>
      </c>
      <c r="B22" t="s">
        <v>72</v>
      </c>
      <c r="C22" t="s">
        <v>73</v>
      </c>
      <c r="D22" s="1">
        <v>0.53</v>
      </c>
      <c r="E22">
        <v>-13</v>
      </c>
      <c r="F22" t="s">
        <v>74</v>
      </c>
    </row>
    <row r="23" spans="1:6">
      <c r="A23" t="s">
        <v>75</v>
      </c>
      <c r="B23" t="s">
        <v>76</v>
      </c>
      <c r="C23" t="s">
        <v>77</v>
      </c>
      <c r="D23" s="1">
        <v>0.42</v>
      </c>
    </row>
    <row r="24" spans="1:6">
      <c r="A24" t="s">
        <v>78</v>
      </c>
      <c r="B24" t="s">
        <v>79</v>
      </c>
      <c r="C24" t="s">
        <v>80</v>
      </c>
      <c r="D24" s="1">
        <v>0.35</v>
      </c>
      <c r="E24">
        <v>-6</v>
      </c>
      <c r="F24" t="s">
        <v>29</v>
      </c>
    </row>
    <row r="25" spans="1:6">
      <c r="A25" t="s">
        <v>81</v>
      </c>
      <c r="B25" t="s">
        <v>82</v>
      </c>
      <c r="C25" t="s">
        <v>83</v>
      </c>
      <c r="D25" s="1">
        <v>0.23</v>
      </c>
      <c r="E25">
        <v>-14</v>
      </c>
      <c r="F25" t="s">
        <v>84</v>
      </c>
    </row>
    <row r="26" spans="1:6">
      <c r="A26" t="s">
        <v>85</v>
      </c>
      <c r="B26" t="s">
        <v>86</v>
      </c>
      <c r="C26" t="s">
        <v>87</v>
      </c>
      <c r="D26" s="1">
        <v>0.54</v>
      </c>
      <c r="E26">
        <v>-7</v>
      </c>
      <c r="F26" t="s">
        <v>88</v>
      </c>
    </row>
    <row r="27" spans="1:6">
      <c r="A27" t="s">
        <v>89</v>
      </c>
      <c r="B27" t="s">
        <v>90</v>
      </c>
      <c r="C27" t="s">
        <v>91</v>
      </c>
      <c r="D27" s="1">
        <v>0.35</v>
      </c>
      <c r="E27">
        <v>-49</v>
      </c>
      <c r="F27" t="s">
        <v>17</v>
      </c>
    </row>
    <row r="28" spans="1:6">
      <c r="A28" t="s">
        <v>92</v>
      </c>
      <c r="B28" t="s">
        <v>93</v>
      </c>
      <c r="C28" t="s">
        <v>94</v>
      </c>
      <c r="D28" s="1">
        <v>0.18</v>
      </c>
      <c r="E28">
        <v>-12</v>
      </c>
      <c r="F28" t="s">
        <v>41</v>
      </c>
    </row>
    <row r="29" spans="1:6">
      <c r="A29" t="s">
        <v>95</v>
      </c>
      <c r="B29" t="s">
        <v>80</v>
      </c>
      <c r="C29" t="s">
        <v>96</v>
      </c>
      <c r="D29" s="1">
        <v>0.32</v>
      </c>
      <c r="E29">
        <v>-13</v>
      </c>
      <c r="F29" t="s">
        <v>41</v>
      </c>
    </row>
    <row r="30" spans="1:6">
      <c r="A30" t="s">
        <v>97</v>
      </c>
      <c r="B30" t="s">
        <v>98</v>
      </c>
      <c r="C30" t="s">
        <v>20</v>
      </c>
      <c r="D30" s="1">
        <v>0.3</v>
      </c>
      <c r="E30">
        <v>-20</v>
      </c>
      <c r="F30" t="s">
        <v>13</v>
      </c>
    </row>
    <row r="31" spans="1:6">
      <c r="A31" t="s">
        <v>99</v>
      </c>
      <c r="B31" t="s">
        <v>100</v>
      </c>
      <c r="C31" t="s">
        <v>101</v>
      </c>
      <c r="D31" s="1">
        <v>0.46</v>
      </c>
    </row>
    <row r="32" spans="1:6">
      <c r="A32" t="s">
        <v>102</v>
      </c>
      <c r="B32" t="s">
        <v>103</v>
      </c>
      <c r="C32" t="s">
        <v>104</v>
      </c>
      <c r="D32" s="1">
        <v>0.52</v>
      </c>
      <c r="E32">
        <v>-9</v>
      </c>
      <c r="F32" t="s">
        <v>88</v>
      </c>
    </row>
    <row r="33" spans="1:6">
      <c r="A33" t="s">
        <v>105</v>
      </c>
      <c r="B33" t="s">
        <v>106</v>
      </c>
      <c r="C33" t="s">
        <v>107</v>
      </c>
      <c r="D33" s="1">
        <v>0.34</v>
      </c>
      <c r="E33">
        <v>-12</v>
      </c>
      <c r="F33" t="s">
        <v>21</v>
      </c>
    </row>
    <row r="34" spans="1:6">
      <c r="A34" t="s">
        <v>108</v>
      </c>
      <c r="B34" t="s">
        <v>109</v>
      </c>
      <c r="C34" t="s">
        <v>110</v>
      </c>
      <c r="D34" s="1">
        <v>0.48</v>
      </c>
      <c r="E34">
        <v>-9</v>
      </c>
      <c r="F34" t="s">
        <v>88</v>
      </c>
    </row>
    <row r="35" spans="1:6">
      <c r="A35" t="s">
        <v>111</v>
      </c>
      <c r="B35" t="s">
        <v>112</v>
      </c>
      <c r="C35" t="s">
        <v>113</v>
      </c>
      <c r="D35" s="1">
        <v>0.27</v>
      </c>
      <c r="E35">
        <v>-20</v>
      </c>
      <c r="F35" t="s">
        <v>21</v>
      </c>
    </row>
    <row r="36" spans="1:6">
      <c r="A36" t="s">
        <v>114</v>
      </c>
      <c r="B36" t="s">
        <v>115</v>
      </c>
      <c r="C36" t="s">
        <v>116</v>
      </c>
      <c r="D36" s="1">
        <v>0.27</v>
      </c>
      <c r="E36">
        <v>-32</v>
      </c>
      <c r="F36" t="s">
        <v>9</v>
      </c>
    </row>
    <row r="37" spans="1:6">
      <c r="A37" t="s">
        <v>117</v>
      </c>
      <c r="B37" t="s">
        <v>118</v>
      </c>
      <c r="C37" t="s">
        <v>119</v>
      </c>
      <c r="D37" s="1">
        <v>0.4</v>
      </c>
      <c r="E37">
        <v>-1</v>
      </c>
      <c r="F37" t="s">
        <v>59</v>
      </c>
    </row>
    <row r="38" spans="1:6">
      <c r="A38" t="s">
        <v>120</v>
      </c>
      <c r="B38" t="s">
        <v>121</v>
      </c>
      <c r="C38" t="s">
        <v>62</v>
      </c>
      <c r="D38" s="1">
        <v>0.53</v>
      </c>
      <c r="E38">
        <v>-2</v>
      </c>
      <c r="F38" t="s">
        <v>59</v>
      </c>
    </row>
    <row r="39" spans="1:6">
      <c r="A39" t="s">
        <v>122</v>
      </c>
      <c r="B39" t="s">
        <v>123</v>
      </c>
      <c r="C39" t="s">
        <v>124</v>
      </c>
      <c r="D39" s="1">
        <v>0.41</v>
      </c>
      <c r="E39">
        <v>-36</v>
      </c>
      <c r="F39" t="s">
        <v>88</v>
      </c>
    </row>
    <row r="40" spans="1:6">
      <c r="A40" t="s">
        <v>125</v>
      </c>
      <c r="B40" t="s">
        <v>126</v>
      </c>
      <c r="C40" t="s">
        <v>127</v>
      </c>
      <c r="D40" s="1">
        <v>0.38</v>
      </c>
      <c r="E40">
        <v>-2</v>
      </c>
      <c r="F40" t="s">
        <v>9</v>
      </c>
    </row>
    <row r="41" spans="1:6">
      <c r="A41" t="s">
        <v>128</v>
      </c>
      <c r="B41" t="s">
        <v>129</v>
      </c>
      <c r="C41" t="s">
        <v>130</v>
      </c>
      <c r="D41" s="1">
        <v>0.38</v>
      </c>
    </row>
    <row r="42" spans="1:6">
      <c r="A42" t="s">
        <v>131</v>
      </c>
      <c r="B42" t="s">
        <v>132</v>
      </c>
      <c r="C42" t="s">
        <v>133</v>
      </c>
      <c r="D42" s="1">
        <v>0.49</v>
      </c>
    </row>
    <row r="43" spans="1:6">
      <c r="A43" t="s">
        <v>134</v>
      </c>
      <c r="B43" t="s">
        <v>135</v>
      </c>
      <c r="C43" t="s">
        <v>136</v>
      </c>
      <c r="D43" s="1">
        <v>0.5</v>
      </c>
    </row>
    <row r="44" spans="1:6">
      <c r="A44" t="s">
        <v>137</v>
      </c>
      <c r="B44" t="s">
        <v>138</v>
      </c>
      <c r="C44" t="s">
        <v>139</v>
      </c>
      <c r="D44" s="1">
        <v>0.42</v>
      </c>
    </row>
    <row r="45" spans="1:6">
      <c r="A45" t="s">
        <v>137</v>
      </c>
      <c r="B45" t="s">
        <v>138</v>
      </c>
      <c r="C45" t="s">
        <v>139</v>
      </c>
      <c r="D45" s="1">
        <v>0.42</v>
      </c>
    </row>
    <row r="46" spans="1:6">
      <c r="A46" t="s">
        <v>140</v>
      </c>
      <c r="B46" t="s">
        <v>141</v>
      </c>
      <c r="C46" t="s">
        <v>142</v>
      </c>
      <c r="D46" s="1">
        <v>0.02</v>
      </c>
    </row>
    <row r="47" spans="1:6">
      <c r="A47" t="s">
        <v>143</v>
      </c>
      <c r="B47" t="s">
        <v>12</v>
      </c>
      <c r="C47" t="s">
        <v>144</v>
      </c>
      <c r="D47" s="1">
        <v>0.5</v>
      </c>
    </row>
    <row r="48" spans="1:6">
      <c r="A48" t="s">
        <v>145</v>
      </c>
      <c r="B48" t="s">
        <v>146</v>
      </c>
      <c r="C48" t="s">
        <v>147</v>
      </c>
      <c r="D48" s="1">
        <v>0.33</v>
      </c>
    </row>
    <row r="49" spans="1:6">
      <c r="A49" t="s">
        <v>148</v>
      </c>
      <c r="B49" t="s">
        <v>149</v>
      </c>
      <c r="C49" t="s">
        <v>150</v>
      </c>
      <c r="D49" s="1">
        <v>0.49</v>
      </c>
    </row>
    <row r="50" spans="1:6">
      <c r="A50" t="s">
        <v>151</v>
      </c>
      <c r="B50" t="s">
        <v>152</v>
      </c>
      <c r="C50" t="s">
        <v>153</v>
      </c>
      <c r="D50" s="1">
        <v>0.38</v>
      </c>
    </row>
    <row r="51" spans="1:6">
      <c r="A51" t="s">
        <v>154</v>
      </c>
      <c r="B51" t="s">
        <v>155</v>
      </c>
      <c r="C51" t="s">
        <v>156</v>
      </c>
      <c r="D51" s="1">
        <v>0.61</v>
      </c>
    </row>
    <row r="52" spans="1:6">
      <c r="A52" t="s">
        <v>157</v>
      </c>
      <c r="B52" t="s">
        <v>158</v>
      </c>
      <c r="C52" t="s">
        <v>159</v>
      </c>
      <c r="D52" s="1">
        <v>0.5</v>
      </c>
    </row>
    <row r="53" spans="1:6">
      <c r="A53" t="s">
        <v>160</v>
      </c>
      <c r="B53" t="s">
        <v>161</v>
      </c>
      <c r="C53" t="s">
        <v>162</v>
      </c>
      <c r="D53" s="1">
        <v>0.02</v>
      </c>
    </row>
    <row r="54" spans="1:6">
      <c r="A54" t="s">
        <v>163</v>
      </c>
      <c r="B54" t="s">
        <v>158</v>
      </c>
      <c r="C54" t="s">
        <v>164</v>
      </c>
      <c r="D54" s="1">
        <v>0.22</v>
      </c>
    </row>
    <row r="55" spans="1:6">
      <c r="A55" t="s">
        <v>165</v>
      </c>
      <c r="B55" t="s">
        <v>166</v>
      </c>
      <c r="C55" t="s">
        <v>167</v>
      </c>
      <c r="D55" s="1">
        <v>0.03</v>
      </c>
    </row>
    <row r="56" spans="1:6">
      <c r="A56" t="s">
        <v>168</v>
      </c>
      <c r="B56" t="s">
        <v>43</v>
      </c>
      <c r="C56" t="s">
        <v>169</v>
      </c>
      <c r="D56" s="1">
        <v>0.41</v>
      </c>
    </row>
    <row r="57" spans="1:6">
      <c r="A57" t="s">
        <v>170</v>
      </c>
      <c r="B57" t="s">
        <v>171</v>
      </c>
      <c r="C57" t="s">
        <v>172</v>
      </c>
      <c r="D57" s="1">
        <v>0.45</v>
      </c>
    </row>
    <row r="58" spans="1:6">
      <c r="A58" t="s">
        <v>173</v>
      </c>
      <c r="B58" t="s">
        <v>174</v>
      </c>
      <c r="C58" t="s">
        <v>169</v>
      </c>
      <c r="D58" s="1">
        <v>0.48</v>
      </c>
    </row>
    <row r="59" spans="1:6">
      <c r="A59" t="s">
        <v>175</v>
      </c>
      <c r="B59" t="s">
        <v>43</v>
      </c>
      <c r="C59" t="s">
        <v>176</v>
      </c>
      <c r="D59" s="1">
        <v>0.49</v>
      </c>
    </row>
    <row r="60" spans="1:6">
      <c r="A60" t="s">
        <v>177</v>
      </c>
      <c r="B60" t="s">
        <v>178</v>
      </c>
      <c r="C60" t="s">
        <v>179</v>
      </c>
      <c r="D60" s="1">
        <v>0.27</v>
      </c>
    </row>
    <row r="61" spans="1:6">
      <c r="A61" t="s">
        <v>170</v>
      </c>
      <c r="B61" t="s">
        <v>180</v>
      </c>
      <c r="C61" t="s">
        <v>181</v>
      </c>
      <c r="D61" s="1">
        <v>0.55000000000000004</v>
      </c>
    </row>
    <row r="62" spans="1:6">
      <c r="A62" t="s">
        <v>182</v>
      </c>
      <c r="B62" t="s">
        <v>183</v>
      </c>
      <c r="C62" t="s">
        <v>184</v>
      </c>
      <c r="D62" s="1">
        <v>0.13</v>
      </c>
      <c r="E62">
        <v>-6</v>
      </c>
      <c r="F62" t="s">
        <v>185</v>
      </c>
    </row>
    <row r="63" spans="1:6">
      <c r="A63" t="s">
        <v>186</v>
      </c>
      <c r="B63" t="s">
        <v>187</v>
      </c>
      <c r="C63" t="s">
        <v>188</v>
      </c>
      <c r="D63" s="1">
        <v>0.54</v>
      </c>
      <c r="E63">
        <v>-10</v>
      </c>
      <c r="F63" t="s">
        <v>189</v>
      </c>
    </row>
    <row r="64" spans="1:6">
      <c r="A64" t="s">
        <v>190</v>
      </c>
      <c r="B64" t="s">
        <v>191</v>
      </c>
      <c r="C64" t="s">
        <v>192</v>
      </c>
      <c r="D64" s="1">
        <v>0.55000000000000004</v>
      </c>
      <c r="E64">
        <v>-13</v>
      </c>
      <c r="F64" t="s">
        <v>193</v>
      </c>
    </row>
    <row r="65" spans="1:6">
      <c r="A65" t="s">
        <v>194</v>
      </c>
      <c r="B65" t="s">
        <v>195</v>
      </c>
      <c r="C65" t="s">
        <v>196</v>
      </c>
      <c r="D65" s="1">
        <v>0.49</v>
      </c>
      <c r="E65">
        <v>-69</v>
      </c>
      <c r="F65" t="s">
        <v>197</v>
      </c>
    </row>
    <row r="66" spans="1:6">
      <c r="A66" t="s">
        <v>198</v>
      </c>
      <c r="B66" t="s">
        <v>199</v>
      </c>
      <c r="C66" t="s">
        <v>200</v>
      </c>
      <c r="D66" s="1">
        <v>0.52</v>
      </c>
      <c r="E66">
        <v>-15</v>
      </c>
      <c r="F66" t="s">
        <v>201</v>
      </c>
    </row>
    <row r="67" spans="1:6">
      <c r="A67" t="s">
        <v>202</v>
      </c>
      <c r="B67" t="s">
        <v>203</v>
      </c>
      <c r="C67" t="s">
        <v>204</v>
      </c>
      <c r="D67" s="1">
        <v>0.22</v>
      </c>
      <c r="E67">
        <v>-16</v>
      </c>
      <c r="F67" t="s">
        <v>205</v>
      </c>
    </row>
    <row r="68" spans="1:6">
      <c r="A68" t="s">
        <v>206</v>
      </c>
      <c r="B68" t="s">
        <v>45</v>
      </c>
      <c r="C68" t="s">
        <v>207</v>
      </c>
      <c r="D68" s="1">
        <v>0.45</v>
      </c>
      <c r="E68">
        <v>-6</v>
      </c>
      <c r="F68" t="s">
        <v>208</v>
      </c>
    </row>
    <row r="69" spans="1:6">
      <c r="A69" t="s">
        <v>209</v>
      </c>
      <c r="B69" t="s">
        <v>210</v>
      </c>
      <c r="C69" t="s">
        <v>144</v>
      </c>
      <c r="D69" s="1">
        <v>0.5</v>
      </c>
      <c r="E69">
        <v>-7</v>
      </c>
      <c r="F69" t="s">
        <v>211</v>
      </c>
    </row>
    <row r="70" spans="1:6">
      <c r="A70" t="s">
        <v>212</v>
      </c>
      <c r="B70" t="s">
        <v>213</v>
      </c>
      <c r="C70" t="s">
        <v>214</v>
      </c>
      <c r="D70" s="1">
        <v>0.39</v>
      </c>
      <c r="E70">
        <v>-5</v>
      </c>
      <c r="F70" t="s">
        <v>189</v>
      </c>
    </row>
    <row r="71" spans="1:6">
      <c r="A71" t="s">
        <v>215</v>
      </c>
      <c r="B71" t="s">
        <v>104</v>
      </c>
      <c r="C71" t="s">
        <v>216</v>
      </c>
      <c r="D71" s="1">
        <v>0.45</v>
      </c>
      <c r="E71">
        <v>-17</v>
      </c>
      <c r="F71" t="s">
        <v>217</v>
      </c>
    </row>
    <row r="72" spans="1:6">
      <c r="A72" t="s">
        <v>218</v>
      </c>
      <c r="B72" t="s">
        <v>219</v>
      </c>
      <c r="C72" t="s">
        <v>220</v>
      </c>
      <c r="D72" s="1">
        <v>0.28999999999999998</v>
      </c>
      <c r="E72">
        <v>-5</v>
      </c>
      <c r="F72" t="s">
        <v>189</v>
      </c>
    </row>
    <row r="73" spans="1:6">
      <c r="A73" t="s">
        <v>221</v>
      </c>
      <c r="B73" t="s">
        <v>222</v>
      </c>
      <c r="C73" t="s">
        <v>223</v>
      </c>
      <c r="D73" s="1">
        <v>0.43</v>
      </c>
      <c r="E73">
        <v>-6</v>
      </c>
      <c r="F73" t="s">
        <v>211</v>
      </c>
    </row>
    <row r="74" spans="1:6">
      <c r="A74" t="s">
        <v>224</v>
      </c>
      <c r="B74" t="s">
        <v>225</v>
      </c>
      <c r="C74" t="s">
        <v>226</v>
      </c>
      <c r="D74" s="1">
        <v>0.43</v>
      </c>
      <c r="E74">
        <v>-5</v>
      </c>
      <c r="F74" t="s">
        <v>189</v>
      </c>
    </row>
    <row r="75" spans="1:6">
      <c r="A75" t="s">
        <v>227</v>
      </c>
      <c r="B75" t="s">
        <v>228</v>
      </c>
      <c r="C75" t="s">
        <v>207</v>
      </c>
      <c r="D75" s="1">
        <v>0.47</v>
      </c>
      <c r="E75">
        <v>-6</v>
      </c>
      <c r="F75" t="s">
        <v>208</v>
      </c>
    </row>
    <row r="76" spans="1:6">
      <c r="A76" t="s">
        <v>229</v>
      </c>
      <c r="B76" t="s">
        <v>230</v>
      </c>
      <c r="C76" t="s">
        <v>231</v>
      </c>
      <c r="D76" s="1">
        <v>0.47</v>
      </c>
      <c r="E76">
        <v>-7</v>
      </c>
      <c r="F76" t="s">
        <v>193</v>
      </c>
    </row>
    <row r="77" spans="1:6">
      <c r="A77" t="s">
        <v>232</v>
      </c>
      <c r="B77" t="s">
        <v>233</v>
      </c>
      <c r="C77" t="s">
        <v>234</v>
      </c>
      <c r="D77" s="1">
        <v>0.47</v>
      </c>
    </row>
    <row r="78" spans="1:6">
      <c r="A78" t="s">
        <v>235</v>
      </c>
      <c r="B78" t="s">
        <v>236</v>
      </c>
      <c r="C78" t="s">
        <v>152</v>
      </c>
      <c r="D78" s="1">
        <v>0.43</v>
      </c>
    </row>
    <row r="79" spans="1:6">
      <c r="A79" t="s">
        <v>237</v>
      </c>
      <c r="B79" t="s">
        <v>238</v>
      </c>
      <c r="C79" t="s">
        <v>239</v>
      </c>
      <c r="D79" s="1">
        <v>0.04</v>
      </c>
    </row>
    <row r="80" spans="1:6">
      <c r="A80" t="s">
        <v>240</v>
      </c>
      <c r="B80" t="s">
        <v>241</v>
      </c>
      <c r="C80" t="s">
        <v>242</v>
      </c>
      <c r="D80" s="1">
        <v>0.49</v>
      </c>
    </row>
    <row r="81" spans="1:6">
      <c r="A81" t="s">
        <v>243</v>
      </c>
      <c r="B81" t="s">
        <v>244</v>
      </c>
      <c r="C81" t="s">
        <v>15</v>
      </c>
      <c r="D81" s="1">
        <v>0.46</v>
      </c>
      <c r="E81">
        <v>-1</v>
      </c>
      <c r="F81" t="s">
        <v>189</v>
      </c>
    </row>
    <row r="82" spans="1:6">
      <c r="A82" t="s">
        <v>245</v>
      </c>
      <c r="B82" t="s">
        <v>246</v>
      </c>
      <c r="C82" t="s">
        <v>247</v>
      </c>
      <c r="D82" s="1">
        <v>0.49</v>
      </c>
      <c r="E82">
        <v>-1</v>
      </c>
      <c r="F82" t="s">
        <v>59</v>
      </c>
    </row>
    <row r="83" spans="1:6">
      <c r="A83" t="s">
        <v>248</v>
      </c>
      <c r="B83" t="s">
        <v>249</v>
      </c>
      <c r="C83" t="s">
        <v>250</v>
      </c>
      <c r="D83" s="1">
        <v>0.36</v>
      </c>
    </row>
    <row r="84" spans="1:6">
      <c r="A84" t="s">
        <v>251</v>
      </c>
      <c r="B84" t="s">
        <v>252</v>
      </c>
      <c r="C84" t="s">
        <v>162</v>
      </c>
      <c r="D84" s="1">
        <v>0.02</v>
      </c>
    </row>
    <row r="85" spans="1:6">
      <c r="A85" t="s">
        <v>253</v>
      </c>
      <c r="B85" t="s">
        <v>254</v>
      </c>
      <c r="C85" t="s">
        <v>91</v>
      </c>
      <c r="D85" s="1">
        <v>0.49</v>
      </c>
      <c r="E85">
        <v>-1</v>
      </c>
      <c r="F85" t="s">
        <v>29</v>
      </c>
    </row>
    <row r="86" spans="1:6">
      <c r="A86" t="s">
        <v>137</v>
      </c>
      <c r="B86" t="s">
        <v>138</v>
      </c>
      <c r="C86" t="s">
        <v>139</v>
      </c>
      <c r="D86" s="1">
        <v>0.42</v>
      </c>
    </row>
    <row r="87" spans="1:6">
      <c r="A87" t="s">
        <v>154</v>
      </c>
      <c r="B87" t="s">
        <v>255</v>
      </c>
      <c r="C87" t="s">
        <v>222</v>
      </c>
      <c r="D87" s="1">
        <v>0.49</v>
      </c>
    </row>
    <row r="88" spans="1:6">
      <c r="A88" t="s">
        <v>256</v>
      </c>
      <c r="B88" t="s">
        <v>257</v>
      </c>
      <c r="C88" t="s">
        <v>162</v>
      </c>
      <c r="D88" s="1">
        <v>0.14000000000000001</v>
      </c>
    </row>
    <row r="89" spans="1:6">
      <c r="A89" t="s">
        <v>258</v>
      </c>
      <c r="B89" t="s">
        <v>259</v>
      </c>
      <c r="C89" t="s">
        <v>260</v>
      </c>
      <c r="D89" s="1">
        <v>0.49</v>
      </c>
    </row>
    <row r="90" spans="1:6">
      <c r="A90" t="s">
        <v>261</v>
      </c>
      <c r="B90" t="s">
        <v>43</v>
      </c>
      <c r="C90" t="s">
        <v>172</v>
      </c>
      <c r="D90" s="1">
        <v>0.11</v>
      </c>
    </row>
    <row r="91" spans="1:6">
      <c r="A91" t="s">
        <v>175</v>
      </c>
      <c r="B91" t="s">
        <v>262</v>
      </c>
      <c r="C91" t="s">
        <v>263</v>
      </c>
      <c r="D91" s="1">
        <v>0.49</v>
      </c>
    </row>
    <row r="92" spans="1:6">
      <c r="A92" t="s">
        <v>264</v>
      </c>
      <c r="B92" t="s">
        <v>265</v>
      </c>
      <c r="C92" t="s">
        <v>162</v>
      </c>
      <c r="D92" s="1">
        <v>0.14000000000000001</v>
      </c>
    </row>
    <row r="93" spans="1:6">
      <c r="A93" t="s">
        <v>266</v>
      </c>
      <c r="B93" t="s">
        <v>267</v>
      </c>
      <c r="C93" t="s">
        <v>268</v>
      </c>
      <c r="D93" s="1">
        <v>0.43</v>
      </c>
    </row>
    <row r="94" spans="1:6">
      <c r="A94" t="s">
        <v>269</v>
      </c>
      <c r="B94" t="s">
        <v>270</v>
      </c>
      <c r="C94" t="s">
        <v>271</v>
      </c>
      <c r="D94" s="1">
        <v>0.5</v>
      </c>
    </row>
    <row r="95" spans="1:6">
      <c r="A95" t="s">
        <v>272</v>
      </c>
      <c r="B95" t="s">
        <v>273</v>
      </c>
      <c r="C95" t="s">
        <v>184</v>
      </c>
      <c r="D95" s="1">
        <v>0.48</v>
      </c>
    </row>
    <row r="96" spans="1:6">
      <c r="A96" t="s">
        <v>274</v>
      </c>
      <c r="B96" t="s">
        <v>275</v>
      </c>
      <c r="C96" t="s">
        <v>276</v>
      </c>
      <c r="D96" s="1">
        <v>0.48</v>
      </c>
    </row>
    <row r="97" spans="1:6">
      <c r="A97" t="s">
        <v>277</v>
      </c>
      <c r="B97" t="s">
        <v>226</v>
      </c>
      <c r="C97" t="s">
        <v>162</v>
      </c>
      <c r="D97" s="1">
        <v>0.47</v>
      </c>
    </row>
    <row r="98" spans="1:6">
      <c r="A98" t="s">
        <v>277</v>
      </c>
      <c r="B98" t="s">
        <v>226</v>
      </c>
      <c r="C98" t="s">
        <v>162</v>
      </c>
      <c r="D98" s="1">
        <v>0.47</v>
      </c>
    </row>
    <row r="99" spans="1:6">
      <c r="A99" t="s">
        <v>278</v>
      </c>
      <c r="B99" t="s">
        <v>152</v>
      </c>
      <c r="C99" t="s">
        <v>279</v>
      </c>
      <c r="D99" s="1">
        <v>0.5</v>
      </c>
    </row>
    <row r="100" spans="1:6">
      <c r="A100" t="s">
        <v>280</v>
      </c>
      <c r="B100" t="s">
        <v>281</v>
      </c>
      <c r="C100" t="s">
        <v>161</v>
      </c>
      <c r="D100" s="1">
        <v>0.08</v>
      </c>
    </row>
    <row r="101" spans="1:6">
      <c r="A101" t="s">
        <v>282</v>
      </c>
      <c r="B101" t="s">
        <v>283</v>
      </c>
      <c r="C101" t="s">
        <v>167</v>
      </c>
      <c r="D101" s="1">
        <v>0.02</v>
      </c>
    </row>
    <row r="102" spans="1:6">
      <c r="A102" t="s">
        <v>284</v>
      </c>
      <c r="B102" t="s">
        <v>285</v>
      </c>
      <c r="C102" t="s">
        <v>286</v>
      </c>
      <c r="D102" s="1">
        <v>0.49</v>
      </c>
    </row>
    <row r="103" spans="1:6">
      <c r="A103" t="s">
        <v>287</v>
      </c>
      <c r="B103" t="s">
        <v>288</v>
      </c>
      <c r="C103" t="s">
        <v>67</v>
      </c>
      <c r="D103" s="1">
        <v>0.04</v>
      </c>
    </row>
    <row r="104" spans="1:6">
      <c r="A104" t="s">
        <v>289</v>
      </c>
      <c r="B104" t="s">
        <v>290</v>
      </c>
      <c r="C104" t="s">
        <v>291</v>
      </c>
      <c r="D104" s="1">
        <v>0.49</v>
      </c>
    </row>
    <row r="105" spans="1:6">
      <c r="A105" t="s">
        <v>292</v>
      </c>
      <c r="B105" t="s">
        <v>293</v>
      </c>
      <c r="C105" t="s">
        <v>294</v>
      </c>
      <c r="D105" s="1">
        <v>0.42</v>
      </c>
    </row>
    <row r="106" spans="1:6">
      <c r="A106" t="s">
        <v>295</v>
      </c>
      <c r="B106" t="s">
        <v>296</v>
      </c>
      <c r="C106" t="s">
        <v>297</v>
      </c>
      <c r="D106" s="1">
        <v>0.21</v>
      </c>
      <c r="E106">
        <v>-1</v>
      </c>
      <c r="F106" t="s">
        <v>59</v>
      </c>
    </row>
    <row r="107" spans="1:6">
      <c r="A107" t="s">
        <v>298</v>
      </c>
      <c r="B107" t="s">
        <v>299</v>
      </c>
      <c r="C107" t="s">
        <v>300</v>
      </c>
      <c r="D107" s="1">
        <v>0.41</v>
      </c>
    </row>
    <row r="108" spans="1:6">
      <c r="A108" t="s">
        <v>301</v>
      </c>
      <c r="B108" t="s">
        <v>302</v>
      </c>
      <c r="C108" t="s">
        <v>303</v>
      </c>
      <c r="D108" s="1">
        <v>0.01</v>
      </c>
    </row>
    <row r="109" spans="1:6">
      <c r="A109" t="s">
        <v>304</v>
      </c>
      <c r="B109" t="s">
        <v>305</v>
      </c>
      <c r="C109" t="s">
        <v>306</v>
      </c>
      <c r="D109" s="1">
        <v>0.24</v>
      </c>
    </row>
    <row r="110" spans="1:6">
      <c r="A110" t="s">
        <v>307</v>
      </c>
      <c r="B110" t="s">
        <v>308</v>
      </c>
      <c r="C110" t="s">
        <v>309</v>
      </c>
      <c r="D110" s="1">
        <v>0.34</v>
      </c>
    </row>
    <row r="111" spans="1:6">
      <c r="A111" t="s">
        <v>310</v>
      </c>
      <c r="B111" t="s">
        <v>146</v>
      </c>
      <c r="C111" t="s">
        <v>311</v>
      </c>
      <c r="D111" s="1">
        <v>0.34</v>
      </c>
    </row>
    <row r="112" spans="1:6">
      <c r="A112" t="s">
        <v>312</v>
      </c>
      <c r="B112" t="s">
        <v>313</v>
      </c>
      <c r="C112" t="s">
        <v>162</v>
      </c>
      <c r="D112" s="1">
        <v>0.02</v>
      </c>
    </row>
    <row r="113" spans="1:6">
      <c r="A113" t="s">
        <v>314</v>
      </c>
      <c r="B113" t="s">
        <v>315</v>
      </c>
      <c r="C113" t="s">
        <v>239</v>
      </c>
      <c r="D113" s="1">
        <v>0.02</v>
      </c>
    </row>
    <row r="114" spans="1:6">
      <c r="A114" t="s">
        <v>316</v>
      </c>
      <c r="B114" t="s">
        <v>155</v>
      </c>
      <c r="C114" t="s">
        <v>317</v>
      </c>
      <c r="D114" s="1">
        <v>0.64</v>
      </c>
    </row>
    <row r="115" spans="1:6">
      <c r="A115" t="s">
        <v>318</v>
      </c>
      <c r="B115" t="s">
        <v>242</v>
      </c>
      <c r="C115" t="s">
        <v>172</v>
      </c>
      <c r="D115" s="1">
        <v>0.5</v>
      </c>
      <c r="E115">
        <v>-1</v>
      </c>
      <c r="F115" t="s">
        <v>319</v>
      </c>
    </row>
    <row r="116" spans="1:6">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A3CA-E3B4-4887-A0A2-71AEA6E62D55}">
  <dimension ref="A1:P106"/>
  <sheetViews>
    <sheetView zoomScale="90" zoomScaleNormal="90" workbookViewId="0">
      <selection activeCell="E1" activeCellId="1" sqref="D1:D1048576 E1:E1048576"/>
    </sheetView>
  </sheetViews>
  <sheetFormatPr defaultColWidth="8.7109375" defaultRowHeight="15"/>
  <cols>
    <col min="1" max="1" width="75" style="3" customWidth="1"/>
    <col min="2" max="3" width="19.42578125" style="4" bestFit="1" customWidth="1"/>
    <col min="4" max="4" width="8.85546875" style="3" bestFit="1" customWidth="1"/>
    <col min="5" max="5" width="7" style="3" bestFit="1" customWidth="1"/>
    <col min="6" max="6" width="10.42578125" style="3" bestFit="1" customWidth="1"/>
    <col min="7" max="9" width="8.7109375" style="3"/>
    <col min="10" max="10" width="9.7109375" style="3" bestFit="1" customWidth="1"/>
    <col min="11" max="11" width="16.5703125" style="3" bestFit="1" customWidth="1"/>
    <col min="12" max="12" width="15.7109375" style="3" bestFit="1" customWidth="1"/>
    <col min="13" max="16384" width="8.7109375" style="3"/>
  </cols>
  <sheetData>
    <row r="1" spans="1:16" s="7" customFormat="1" ht="15.75" thickBot="1">
      <c r="A1" s="12" t="s">
        <v>0</v>
      </c>
      <c r="B1" s="13" t="s">
        <v>1</v>
      </c>
      <c r="C1" s="13" t="s">
        <v>2</v>
      </c>
      <c r="D1" s="14" t="s">
        <v>3</v>
      </c>
      <c r="E1" s="14" t="s">
        <v>4</v>
      </c>
      <c r="F1" s="14" t="s">
        <v>338</v>
      </c>
      <c r="G1" s="14"/>
      <c r="H1" s="14"/>
      <c r="I1" s="14" t="s">
        <v>339</v>
      </c>
      <c r="J1" s="14" t="s">
        <v>325</v>
      </c>
      <c r="K1" s="14" t="s">
        <v>324</v>
      </c>
      <c r="L1" s="14" t="s">
        <v>326</v>
      </c>
      <c r="M1" s="14"/>
      <c r="N1" s="14"/>
      <c r="O1" s="15" t="s">
        <v>336</v>
      </c>
      <c r="P1" s="8"/>
    </row>
    <row r="2" spans="1:16">
      <c r="A2" s="9" t="s">
        <v>318</v>
      </c>
      <c r="B2" s="10">
        <v>450</v>
      </c>
      <c r="C2" s="10">
        <v>900</v>
      </c>
      <c r="D2" s="11">
        <v>0.5</v>
      </c>
      <c r="E2" s="9">
        <v>-1</v>
      </c>
      <c r="F2" s="9">
        <v>2</v>
      </c>
      <c r="G2" s="9"/>
      <c r="H2" s="9"/>
      <c r="I2" s="10">
        <f t="shared" ref="I2:I33" si="0">C2-B2</f>
        <v>450</v>
      </c>
      <c r="J2" s="9" t="str">
        <f t="shared" ref="J2:J33" si="1">IF(F2&lt;3,"Poor",IF(F2&lt;4.5,"Average","Excellent"))</f>
        <v>Poor</v>
      </c>
      <c r="K2" s="9" t="str">
        <f t="shared" ref="K2:K33" si="2">IF(D2&lt;20%,"Low Discount",IF(D2&lt;=40%,"Medium Discount","High Discount"))</f>
        <v>High Discount</v>
      </c>
      <c r="L2" s="9"/>
      <c r="M2" s="9">
        <f t="shared" ref="M2:M33" si="3">CORREL(D2:D105,E2:E105)</f>
        <v>0.13682272428088291</v>
      </c>
      <c r="N2" s="9">
        <f t="shared" ref="N2:N33" si="4">CORREL(F2:F105,E2:E105)</f>
        <v>-5.7209035119876434E-2</v>
      </c>
      <c r="O2" s="9" cm="1">
        <f t="array" ref="O2:O105">ABS(E2:E105)</f>
        <v>1</v>
      </c>
    </row>
    <row r="3" spans="1:16">
      <c r="A3" s="3" t="s">
        <v>245</v>
      </c>
      <c r="B3" s="4">
        <v>979</v>
      </c>
      <c r="C3" s="4">
        <v>1920</v>
      </c>
      <c r="D3" s="5">
        <v>0.49</v>
      </c>
      <c r="E3" s="3">
        <v>-1</v>
      </c>
      <c r="F3" s="3">
        <v>5</v>
      </c>
      <c r="I3" s="4">
        <f t="shared" si="0"/>
        <v>941</v>
      </c>
      <c r="J3" s="3" t="str">
        <f t="shared" si="1"/>
        <v>Excellent</v>
      </c>
      <c r="K3" s="3" t="str">
        <f t="shared" si="2"/>
        <v>High Discount</v>
      </c>
      <c r="M3" s="3">
        <f t="shared" si="3"/>
        <v>0.12495651634820983</v>
      </c>
      <c r="N3" s="3">
        <f t="shared" si="4"/>
        <v>-2.9292873699733928E-2</v>
      </c>
      <c r="O3" s="3">
        <v>1</v>
      </c>
    </row>
    <row r="4" spans="1:16">
      <c r="A4" s="3" t="s">
        <v>253</v>
      </c>
      <c r="B4" s="4">
        <v>330</v>
      </c>
      <c r="C4" s="4">
        <v>647</v>
      </c>
      <c r="D4" s="5">
        <v>0.49</v>
      </c>
      <c r="E4" s="3">
        <v>-1</v>
      </c>
      <c r="F4" s="3">
        <v>4</v>
      </c>
      <c r="I4" s="4">
        <f t="shared" si="0"/>
        <v>317</v>
      </c>
      <c r="J4" s="3" t="str">
        <f t="shared" si="1"/>
        <v>Average</v>
      </c>
      <c r="K4" s="3" t="str">
        <f t="shared" si="2"/>
        <v>High Discount</v>
      </c>
      <c r="M4" s="3">
        <f t="shared" si="3"/>
        <v>0.11343635056637624</v>
      </c>
      <c r="N4" s="3">
        <f t="shared" si="4"/>
        <v>-4.7838219099509402E-2</v>
      </c>
      <c r="O4" s="3">
        <v>1</v>
      </c>
    </row>
    <row r="5" spans="1:16">
      <c r="A5" s="3" t="s">
        <v>243</v>
      </c>
      <c r="B5" s="4">
        <v>1189</v>
      </c>
      <c r="C5" s="4">
        <v>2199</v>
      </c>
      <c r="D5" s="5">
        <v>0.46</v>
      </c>
      <c r="E5" s="3">
        <v>-1</v>
      </c>
      <c r="F5" s="3">
        <v>3</v>
      </c>
      <c r="I5" s="4">
        <f t="shared" si="0"/>
        <v>1010</v>
      </c>
      <c r="J5" s="3" t="str">
        <f t="shared" si="1"/>
        <v>Average</v>
      </c>
      <c r="K5" s="3" t="str">
        <f t="shared" si="2"/>
        <v>High Discount</v>
      </c>
      <c r="M5" s="3">
        <f t="shared" si="3"/>
        <v>0.10116448327619258</v>
      </c>
      <c r="N5" s="3">
        <f t="shared" si="4"/>
        <v>-4.9812289174280773E-2</v>
      </c>
      <c r="O5" s="3">
        <v>1</v>
      </c>
    </row>
    <row r="6" spans="1:16">
      <c r="A6" s="3" t="s">
        <v>117</v>
      </c>
      <c r="B6" s="4">
        <v>1620</v>
      </c>
      <c r="C6" s="4">
        <v>2690</v>
      </c>
      <c r="D6" s="5">
        <v>0.4</v>
      </c>
      <c r="E6" s="3">
        <v>-1</v>
      </c>
      <c r="F6" s="3">
        <v>5</v>
      </c>
      <c r="I6" s="4">
        <f t="shared" si="0"/>
        <v>1070</v>
      </c>
      <c r="J6" s="3" t="str">
        <f t="shared" si="1"/>
        <v>Excellent</v>
      </c>
      <c r="K6" s="3" t="str">
        <f t="shared" si="2"/>
        <v>Medium Discount</v>
      </c>
      <c r="M6" s="3">
        <f t="shared" si="3"/>
        <v>9.1849328764036148E-2</v>
      </c>
      <c r="N6" s="3">
        <f t="shared" si="4"/>
        <v>-3.4622591101166035E-2</v>
      </c>
      <c r="O6" s="3">
        <v>1</v>
      </c>
    </row>
    <row r="7" spans="1:16">
      <c r="A7" s="3" t="s">
        <v>295</v>
      </c>
      <c r="B7" s="4">
        <v>3640</v>
      </c>
      <c r="C7" s="4">
        <v>4588</v>
      </c>
      <c r="D7" s="5">
        <v>0.21</v>
      </c>
      <c r="E7" s="3">
        <v>-1</v>
      </c>
      <c r="F7" s="3">
        <v>5</v>
      </c>
      <c r="I7" s="4">
        <f t="shared" si="0"/>
        <v>948</v>
      </c>
      <c r="J7" s="3" t="str">
        <f t="shared" si="1"/>
        <v>Excellent</v>
      </c>
      <c r="K7" s="3" t="str">
        <f t="shared" si="2"/>
        <v>Medium Discount</v>
      </c>
      <c r="M7" s="3">
        <f t="shared" si="3"/>
        <v>9.0080212962181147E-2</v>
      </c>
      <c r="N7" s="3">
        <f t="shared" si="4"/>
        <v>-5.529087345577393E-2</v>
      </c>
      <c r="O7" s="3">
        <v>1</v>
      </c>
    </row>
    <row r="8" spans="1:16">
      <c r="A8" s="3" t="s">
        <v>120</v>
      </c>
      <c r="B8" s="4">
        <v>171</v>
      </c>
      <c r="C8" s="4">
        <v>360</v>
      </c>
      <c r="D8" s="5">
        <v>0.53</v>
      </c>
      <c r="E8" s="3">
        <v>-2</v>
      </c>
      <c r="F8" s="3">
        <v>5</v>
      </c>
      <c r="I8" s="4">
        <f t="shared" si="0"/>
        <v>189</v>
      </c>
      <c r="J8" s="3" t="str">
        <f t="shared" si="1"/>
        <v>Excellent</v>
      </c>
      <c r="K8" s="3" t="str">
        <f t="shared" si="2"/>
        <v>High Discount</v>
      </c>
      <c r="M8" s="3">
        <f t="shared" si="3"/>
        <v>0.11799239995668272</v>
      </c>
      <c r="N8" s="3">
        <f t="shared" si="4"/>
        <v>-7.7704670267562254E-2</v>
      </c>
      <c r="O8" s="3">
        <v>2</v>
      </c>
    </row>
    <row r="9" spans="1:16">
      <c r="A9" s="3" t="s">
        <v>56</v>
      </c>
      <c r="B9" s="4">
        <v>332</v>
      </c>
      <c r="C9" s="4">
        <v>684</v>
      </c>
      <c r="D9" s="5">
        <v>0.51</v>
      </c>
      <c r="E9" s="3">
        <v>-2</v>
      </c>
      <c r="F9" s="3">
        <v>5</v>
      </c>
      <c r="I9" s="4">
        <f t="shared" si="0"/>
        <v>352</v>
      </c>
      <c r="J9" s="3" t="str">
        <f t="shared" si="1"/>
        <v>Excellent</v>
      </c>
      <c r="K9" s="3" t="str">
        <f t="shared" si="2"/>
        <v>High Discount</v>
      </c>
      <c r="L9" s="3" t="s">
        <v>331</v>
      </c>
      <c r="M9" s="3">
        <f t="shared" si="3"/>
        <v>0.10008352560122966</v>
      </c>
      <c r="N9" s="3">
        <f t="shared" si="4"/>
        <v>-0.10024861579546532</v>
      </c>
      <c r="O9" s="6">
        <v>2</v>
      </c>
    </row>
    <row r="10" spans="1:16">
      <c r="A10" s="3" t="s">
        <v>60</v>
      </c>
      <c r="B10" s="4">
        <v>195</v>
      </c>
      <c r="C10" s="4">
        <v>360</v>
      </c>
      <c r="D10" s="5">
        <v>0.46</v>
      </c>
      <c r="E10" s="3">
        <v>-2</v>
      </c>
      <c r="F10" s="3">
        <v>5</v>
      </c>
      <c r="I10" s="4">
        <f t="shared" si="0"/>
        <v>165</v>
      </c>
      <c r="J10" s="3" t="str">
        <f t="shared" si="1"/>
        <v>Excellent</v>
      </c>
      <c r="K10" s="3" t="str">
        <f t="shared" si="2"/>
        <v>High Discount</v>
      </c>
      <c r="L10" s="4">
        <f>MIN(B8:B97)</f>
        <v>38</v>
      </c>
      <c r="M10" s="3">
        <f t="shared" si="3"/>
        <v>8.3220666512481764E-2</v>
      </c>
      <c r="N10" s="3">
        <f t="shared" si="4"/>
        <v>-0.12481966702831562</v>
      </c>
      <c r="O10" s="3">
        <v>2</v>
      </c>
    </row>
    <row r="11" spans="1:16">
      <c r="A11" s="3" t="s">
        <v>6</v>
      </c>
      <c r="B11" s="4">
        <v>950</v>
      </c>
      <c r="C11" s="4">
        <v>1525</v>
      </c>
      <c r="D11" s="5">
        <v>0.38</v>
      </c>
      <c r="E11" s="3">
        <v>-2</v>
      </c>
      <c r="F11" s="3">
        <v>4.5</v>
      </c>
      <c r="I11" s="4">
        <f t="shared" si="0"/>
        <v>575</v>
      </c>
      <c r="J11" s="3" t="str">
        <f t="shared" si="1"/>
        <v>Excellent</v>
      </c>
      <c r="K11" s="3" t="str">
        <f t="shared" si="2"/>
        <v>Medium Discount</v>
      </c>
      <c r="L11" s="4">
        <f>AVERAGE(B11:B114)</f>
        <v>1260.9263157894736</v>
      </c>
      <c r="M11" s="3">
        <f t="shared" si="3"/>
        <v>7.2068486164504758E-2</v>
      </c>
      <c r="N11" s="3">
        <f t="shared" si="4"/>
        <v>-0.1517108168841507</v>
      </c>
      <c r="O11" s="3">
        <v>2</v>
      </c>
    </row>
    <row r="12" spans="1:16">
      <c r="A12" s="3" t="s">
        <v>125</v>
      </c>
      <c r="B12" s="4">
        <f>(1620+1980)/2</f>
        <v>1800</v>
      </c>
      <c r="C12" s="4">
        <f>(2200+3200)/2</f>
        <v>2700</v>
      </c>
      <c r="D12" s="5">
        <v>0.38</v>
      </c>
      <c r="E12" s="3">
        <v>-2</v>
      </c>
      <c r="F12" s="3">
        <v>4.5</v>
      </c>
      <c r="I12" s="4">
        <f t="shared" si="0"/>
        <v>900</v>
      </c>
      <c r="J12" s="3" t="str">
        <f t="shared" si="1"/>
        <v>Excellent</v>
      </c>
      <c r="K12" s="3" t="str">
        <f t="shared" si="2"/>
        <v>Medium Discount</v>
      </c>
      <c r="M12" s="3">
        <f t="shared" si="3"/>
        <v>7.2404851642268855E-2</v>
      </c>
      <c r="N12" s="3">
        <f t="shared" si="4"/>
        <v>-0.16850324869894168</v>
      </c>
      <c r="O12" s="3">
        <v>2</v>
      </c>
    </row>
    <row r="13" spans="1:16">
      <c r="A13" s="3" t="s">
        <v>33</v>
      </c>
      <c r="B13" s="4">
        <v>988</v>
      </c>
      <c r="C13" s="4">
        <v>1580</v>
      </c>
      <c r="D13" s="5">
        <v>0.37</v>
      </c>
      <c r="E13" s="3">
        <v>-2</v>
      </c>
      <c r="F13" s="3">
        <v>4</v>
      </c>
      <c r="I13" s="4">
        <f t="shared" si="0"/>
        <v>592</v>
      </c>
      <c r="J13" s="3" t="str">
        <f t="shared" si="1"/>
        <v>Average</v>
      </c>
      <c r="K13" s="3" t="str">
        <f t="shared" si="2"/>
        <v>Medium Discount</v>
      </c>
      <c r="M13" s="3">
        <f t="shared" si="3"/>
        <v>7.2767277812492148E-2</v>
      </c>
      <c r="N13" s="3">
        <f t="shared" si="4"/>
        <v>-0.18656089338485896</v>
      </c>
      <c r="O13" s="3">
        <v>2</v>
      </c>
    </row>
    <row r="14" spans="1:16">
      <c r="A14" s="3" t="s">
        <v>63</v>
      </c>
      <c r="B14" s="4">
        <v>2025</v>
      </c>
      <c r="C14" s="4">
        <v>3971</v>
      </c>
      <c r="D14" s="5">
        <v>0.49</v>
      </c>
      <c r="E14" s="3">
        <v>-3</v>
      </c>
      <c r="F14" s="3">
        <v>5</v>
      </c>
      <c r="I14" s="4">
        <f t="shared" si="0"/>
        <v>1946</v>
      </c>
      <c r="J14" s="3" t="str">
        <f t="shared" si="1"/>
        <v>Excellent</v>
      </c>
      <c r="K14" s="3" t="str">
        <f t="shared" si="2"/>
        <v>High Discount</v>
      </c>
      <c r="M14" s="3">
        <f t="shared" si="3"/>
        <v>7.48325870747827E-2</v>
      </c>
      <c r="N14" s="3">
        <f t="shared" si="4"/>
        <v>-0.19347173697255846</v>
      </c>
      <c r="O14" s="3">
        <v>3</v>
      </c>
    </row>
    <row r="15" spans="1:16">
      <c r="A15" s="3" t="s">
        <v>35</v>
      </c>
      <c r="B15" s="4">
        <v>1274</v>
      </c>
      <c r="C15" s="4">
        <v>2800</v>
      </c>
      <c r="D15" s="5">
        <v>0.55000000000000004</v>
      </c>
      <c r="E15" s="3">
        <v>-5</v>
      </c>
      <c r="F15" s="3">
        <v>4.8</v>
      </c>
      <c r="I15" s="4">
        <f t="shared" si="0"/>
        <v>1526</v>
      </c>
      <c r="J15" s="3" t="str">
        <f t="shared" si="1"/>
        <v>Excellent</v>
      </c>
      <c r="K15" s="3" t="str">
        <f t="shared" si="2"/>
        <v>High Discount</v>
      </c>
      <c r="L15" s="3" t="s">
        <v>329</v>
      </c>
      <c r="M15" s="3">
        <f t="shared" si="3"/>
        <v>5.8200417434409082E-2</v>
      </c>
      <c r="N15" s="3">
        <f t="shared" si="4"/>
        <v>-0.22618876730178766</v>
      </c>
      <c r="O15" s="3">
        <v>5</v>
      </c>
    </row>
    <row r="16" spans="1:16">
      <c r="A16" s="3" t="s">
        <v>38</v>
      </c>
      <c r="B16" s="4">
        <v>1600</v>
      </c>
      <c r="C16" s="4">
        <v>2929</v>
      </c>
      <c r="D16" s="5">
        <v>0.45</v>
      </c>
      <c r="E16" s="3">
        <v>-5</v>
      </c>
      <c r="F16" s="3">
        <v>3.8</v>
      </c>
      <c r="I16" s="4">
        <f t="shared" si="0"/>
        <v>1329</v>
      </c>
      <c r="J16" s="3" t="str">
        <f t="shared" si="1"/>
        <v>Average</v>
      </c>
      <c r="K16" s="3" t="str">
        <f t="shared" si="2"/>
        <v>High Discount</v>
      </c>
      <c r="L16" s="3">
        <f>AVERAGE(F7:F110)</f>
        <v>3.897914597815292</v>
      </c>
      <c r="M16" s="3">
        <f t="shared" si="3"/>
        <v>3.4953024433438264E-2</v>
      </c>
      <c r="N16" s="3">
        <f t="shared" si="4"/>
        <v>-0.25183518453352066</v>
      </c>
      <c r="O16" s="3">
        <v>5</v>
      </c>
    </row>
    <row r="17" spans="1:15">
      <c r="A17" s="3" t="s">
        <v>224</v>
      </c>
      <c r="B17" s="4">
        <v>509</v>
      </c>
      <c r="C17" s="4">
        <v>899</v>
      </c>
      <c r="D17" s="5">
        <v>0.43</v>
      </c>
      <c r="E17" s="3">
        <v>-5</v>
      </c>
      <c r="F17" s="3">
        <v>3</v>
      </c>
      <c r="I17" s="4">
        <f t="shared" si="0"/>
        <v>390</v>
      </c>
      <c r="J17" s="3" t="str">
        <f t="shared" si="1"/>
        <v>Average</v>
      </c>
      <c r="K17" s="3" t="str">
        <f t="shared" si="2"/>
        <v>High Discount</v>
      </c>
      <c r="M17" s="3">
        <f t="shared" si="3"/>
        <v>2.373497981099602E-2</v>
      </c>
      <c r="N17" s="3">
        <f t="shared" si="4"/>
        <v>-0.25522736408421459</v>
      </c>
      <c r="O17" s="3">
        <v>5</v>
      </c>
    </row>
    <row r="18" spans="1:15">
      <c r="A18" s="3" t="s">
        <v>212</v>
      </c>
      <c r="B18" s="4">
        <v>3750</v>
      </c>
      <c r="C18" s="4">
        <v>6143</v>
      </c>
      <c r="D18" s="5">
        <v>0.39</v>
      </c>
      <c r="E18" s="3">
        <v>-5</v>
      </c>
      <c r="F18" s="3">
        <v>3</v>
      </c>
      <c r="I18" s="4">
        <f t="shared" si="0"/>
        <v>2393</v>
      </c>
      <c r="J18" s="3" t="str">
        <f t="shared" si="1"/>
        <v>Average</v>
      </c>
      <c r="K18" s="3" t="str">
        <f t="shared" si="2"/>
        <v>Medium Discount</v>
      </c>
      <c r="M18" s="3">
        <f t="shared" si="3"/>
        <v>1.4736050551879824E-2</v>
      </c>
      <c r="N18" s="3">
        <f t="shared" si="4"/>
        <v>-0.24411497044314942</v>
      </c>
      <c r="O18" s="3">
        <v>5</v>
      </c>
    </row>
    <row r="19" spans="1:15">
      <c r="A19" s="3" t="s">
        <v>218</v>
      </c>
      <c r="B19" s="4">
        <v>2300</v>
      </c>
      <c r="C19" s="4">
        <v>3240</v>
      </c>
      <c r="D19" s="5">
        <v>0.28999999999999998</v>
      </c>
      <c r="E19" s="3">
        <v>-5</v>
      </c>
      <c r="F19" s="3">
        <v>3</v>
      </c>
      <c r="I19" s="4">
        <f t="shared" si="0"/>
        <v>940</v>
      </c>
      <c r="J19" s="3" t="str">
        <f t="shared" si="1"/>
        <v>Average</v>
      </c>
      <c r="K19" s="3" t="str">
        <f t="shared" si="2"/>
        <v>Medium Discount</v>
      </c>
      <c r="M19" s="3">
        <f t="shared" si="3"/>
        <v>1.1440257172178432E-2</v>
      </c>
      <c r="N19" s="3">
        <f t="shared" si="4"/>
        <v>-0.23208435852464754</v>
      </c>
      <c r="O19" s="3">
        <v>5</v>
      </c>
    </row>
    <row r="20" spans="1:15">
      <c r="A20" s="3" t="s">
        <v>22</v>
      </c>
      <c r="B20" s="4">
        <v>1740</v>
      </c>
      <c r="C20" s="4">
        <v>2356</v>
      </c>
      <c r="D20" s="5">
        <v>0.26</v>
      </c>
      <c r="E20" s="3">
        <v>-5</v>
      </c>
      <c r="F20" s="3">
        <v>4.8</v>
      </c>
      <c r="I20" s="4">
        <f t="shared" si="0"/>
        <v>616</v>
      </c>
      <c r="J20" s="3" t="str">
        <f t="shared" si="1"/>
        <v>Excellent</v>
      </c>
      <c r="K20" s="3" t="str">
        <f t="shared" si="2"/>
        <v>Medium Discount</v>
      </c>
      <c r="M20" s="3">
        <f t="shared" si="3"/>
        <v>2.4497907112653417E-2</v>
      </c>
      <c r="N20" s="3">
        <f t="shared" si="4"/>
        <v>-0.21901681340581447</v>
      </c>
      <c r="O20" s="3">
        <v>5</v>
      </c>
    </row>
    <row r="21" spans="1:15">
      <c r="A21" s="3" t="s">
        <v>66</v>
      </c>
      <c r="B21" s="4">
        <v>2999</v>
      </c>
      <c r="C21" s="4">
        <v>3699</v>
      </c>
      <c r="D21" s="5">
        <v>0.19</v>
      </c>
      <c r="E21" s="3">
        <v>-5</v>
      </c>
      <c r="F21" s="3">
        <v>4.5999999999999996</v>
      </c>
      <c r="I21" s="4">
        <f t="shared" si="0"/>
        <v>700</v>
      </c>
      <c r="J21" s="3" t="str">
        <f t="shared" si="1"/>
        <v>Excellent</v>
      </c>
      <c r="K21" s="3" t="str">
        <f t="shared" si="2"/>
        <v>Low Discount</v>
      </c>
      <c r="L21" s="3" t="s">
        <v>332</v>
      </c>
      <c r="M21" s="3">
        <f t="shared" si="3"/>
        <v>4.3999130660823636E-2</v>
      </c>
      <c r="N21" s="3">
        <f t="shared" si="4"/>
        <v>-0.24910085370574195</v>
      </c>
      <c r="O21" s="3">
        <v>5</v>
      </c>
    </row>
    <row r="22" spans="1:15">
      <c r="A22" s="3" t="s">
        <v>227</v>
      </c>
      <c r="B22" s="4">
        <v>968</v>
      </c>
      <c r="C22" s="4">
        <v>1814</v>
      </c>
      <c r="D22" s="5">
        <v>0.47</v>
      </c>
      <c r="E22" s="3">
        <v>-6</v>
      </c>
      <c r="F22" s="3">
        <v>2.2000000000000002</v>
      </c>
      <c r="I22" s="4">
        <f t="shared" si="0"/>
        <v>846</v>
      </c>
      <c r="J22" s="3" t="str">
        <f t="shared" si="1"/>
        <v>Poor</v>
      </c>
      <c r="K22" s="3" t="str">
        <f t="shared" si="2"/>
        <v>High Discount</v>
      </c>
      <c r="M22" s="3">
        <f t="shared" si="3"/>
        <v>7.9482575532370162E-2</v>
      </c>
      <c r="N22" s="3">
        <f t="shared" si="4"/>
        <v>-0.27580399643094555</v>
      </c>
      <c r="O22" s="3">
        <v>6</v>
      </c>
    </row>
    <row r="23" spans="1:15">
      <c r="A23" s="3" t="s">
        <v>206</v>
      </c>
      <c r="B23" s="4">
        <v>990</v>
      </c>
      <c r="C23" s="4">
        <v>1814</v>
      </c>
      <c r="D23" s="5">
        <v>0.45</v>
      </c>
      <c r="E23" s="3">
        <v>-6</v>
      </c>
      <c r="F23" s="3">
        <v>2.2000000000000002</v>
      </c>
      <c r="I23" s="4">
        <f t="shared" si="0"/>
        <v>824</v>
      </c>
      <c r="J23" s="3" t="str">
        <f t="shared" si="1"/>
        <v>Poor</v>
      </c>
      <c r="K23" s="3" t="str">
        <f t="shared" si="2"/>
        <v>High Discount</v>
      </c>
      <c r="M23" s="3">
        <f t="shared" si="3"/>
        <v>6.4378254059815884E-2</v>
      </c>
      <c r="N23" s="3">
        <f t="shared" si="4"/>
        <v>-0.25143418929476713</v>
      </c>
      <c r="O23" s="3">
        <v>6</v>
      </c>
    </row>
    <row r="24" spans="1:15">
      <c r="A24" s="3" t="s">
        <v>221</v>
      </c>
      <c r="B24" s="4">
        <v>345</v>
      </c>
      <c r="C24" s="4">
        <v>602</v>
      </c>
      <c r="D24" s="5">
        <v>0.43</v>
      </c>
      <c r="E24" s="3">
        <v>-6</v>
      </c>
      <c r="F24" s="3">
        <v>2.2999999999999998</v>
      </c>
      <c r="I24" s="4">
        <f t="shared" si="0"/>
        <v>257</v>
      </c>
      <c r="J24" s="3" t="str">
        <f t="shared" si="1"/>
        <v>Poor</v>
      </c>
      <c r="K24" s="3" t="str">
        <f t="shared" si="2"/>
        <v>High Discount</v>
      </c>
      <c r="M24" s="3">
        <f t="shared" si="3"/>
        <v>5.1430557678520249E-2</v>
      </c>
      <c r="N24" s="3">
        <f t="shared" si="4"/>
        <v>-0.22320371731491048</v>
      </c>
      <c r="O24" s="3">
        <v>6</v>
      </c>
    </row>
    <row r="25" spans="1:15">
      <c r="A25" s="3" t="s">
        <v>50</v>
      </c>
      <c r="B25" s="4">
        <v>501</v>
      </c>
      <c r="C25" s="4">
        <v>860</v>
      </c>
      <c r="D25" s="5">
        <v>0.42</v>
      </c>
      <c r="E25" s="3">
        <v>-6</v>
      </c>
      <c r="F25" s="3">
        <v>4.5</v>
      </c>
      <c r="I25" s="4">
        <f t="shared" si="0"/>
        <v>359</v>
      </c>
      <c r="J25" s="3" t="str">
        <f t="shared" si="1"/>
        <v>Excellent</v>
      </c>
      <c r="K25" s="3" t="str">
        <f t="shared" si="2"/>
        <v>High Discount</v>
      </c>
      <c r="L25" s="4">
        <f>MAX(B12:B115)</f>
        <v>3750</v>
      </c>
      <c r="M25" s="3">
        <f t="shared" si="3"/>
        <v>4.1089777181421774E-2</v>
      </c>
      <c r="N25" s="3">
        <f t="shared" si="4"/>
        <v>-0.19168095287298406</v>
      </c>
      <c r="O25" s="3">
        <v>6</v>
      </c>
    </row>
    <row r="26" spans="1:15">
      <c r="A26" s="3" t="s">
        <v>78</v>
      </c>
      <c r="B26" s="4">
        <v>880</v>
      </c>
      <c r="C26" s="4">
        <v>1350</v>
      </c>
      <c r="D26" s="5">
        <v>0.35</v>
      </c>
      <c r="E26" s="3">
        <v>-6</v>
      </c>
      <c r="F26" s="3">
        <v>4</v>
      </c>
      <c r="I26" s="4">
        <f t="shared" si="0"/>
        <v>470</v>
      </c>
      <c r="J26" s="3" t="str">
        <f t="shared" si="1"/>
        <v>Average</v>
      </c>
      <c r="K26" s="3" t="str">
        <f t="shared" si="2"/>
        <v>Medium Discount</v>
      </c>
      <c r="M26" s="3">
        <f t="shared" si="3"/>
        <v>3.1815282844541083E-2</v>
      </c>
      <c r="N26" s="3">
        <f t="shared" si="4"/>
        <v>-0.21550092290296394</v>
      </c>
      <c r="O26" s="3">
        <v>6</v>
      </c>
    </row>
    <row r="27" spans="1:15">
      <c r="A27" s="3" t="s">
        <v>182</v>
      </c>
      <c r="B27" s="4">
        <v>2170</v>
      </c>
      <c r="C27" s="4">
        <v>2500</v>
      </c>
      <c r="D27" s="5">
        <v>0.13</v>
      </c>
      <c r="E27" s="3">
        <v>-6</v>
      </c>
      <c r="F27" s="3">
        <v>2.5</v>
      </c>
      <c r="I27" s="4">
        <f t="shared" si="0"/>
        <v>330</v>
      </c>
      <c r="J27" s="3" t="str">
        <f t="shared" si="1"/>
        <v>Poor</v>
      </c>
      <c r="K27" s="3" t="str">
        <f t="shared" si="2"/>
        <v>Low Discount</v>
      </c>
      <c r="M27" s="3">
        <f t="shared" si="3"/>
        <v>3.6437857158510042E-2</v>
      </c>
      <c r="N27" s="3">
        <f t="shared" si="4"/>
        <v>-0.22360834195290605</v>
      </c>
      <c r="O27" s="3">
        <v>6</v>
      </c>
    </row>
    <row r="28" spans="1:15">
      <c r="A28" s="3" t="s">
        <v>85</v>
      </c>
      <c r="B28" s="4">
        <v>2048</v>
      </c>
      <c r="C28" s="4">
        <v>4500</v>
      </c>
      <c r="D28" s="5">
        <v>0.54</v>
      </c>
      <c r="E28" s="3">
        <v>-7</v>
      </c>
      <c r="F28" s="3">
        <v>4.3</v>
      </c>
      <c r="I28" s="4">
        <f t="shared" si="0"/>
        <v>2452</v>
      </c>
      <c r="J28" s="3" t="str">
        <f t="shared" si="1"/>
        <v>Average</v>
      </c>
      <c r="K28" s="3" t="str">
        <f t="shared" si="2"/>
        <v>High Discount</v>
      </c>
      <c r="M28" s="3">
        <f t="shared" si="3"/>
        <v>9.530422184754056E-2</v>
      </c>
      <c r="N28" s="3">
        <f t="shared" si="4"/>
        <v>-0.18905675190499829</v>
      </c>
      <c r="O28" s="3">
        <v>7</v>
      </c>
    </row>
    <row r="29" spans="1:15">
      <c r="A29" s="3" t="s">
        <v>209</v>
      </c>
      <c r="B29" s="4">
        <v>1000</v>
      </c>
      <c r="C29" s="4">
        <v>2000</v>
      </c>
      <c r="D29" s="5">
        <v>0.5</v>
      </c>
      <c r="E29" s="3">
        <v>-7</v>
      </c>
      <c r="F29" s="3">
        <v>2.2999999999999998</v>
      </c>
      <c r="I29" s="4">
        <f t="shared" si="0"/>
        <v>1000</v>
      </c>
      <c r="J29" s="3" t="str">
        <f t="shared" si="1"/>
        <v>Poor</v>
      </c>
      <c r="K29" s="3" t="str">
        <f t="shared" si="2"/>
        <v>High Discount</v>
      </c>
      <c r="M29" s="3">
        <f t="shared" si="3"/>
        <v>6.1393993448085986E-2</v>
      </c>
      <c r="N29" s="3">
        <f t="shared" si="4"/>
        <v>-0.20694332205604501</v>
      </c>
      <c r="O29" s="3">
        <v>7</v>
      </c>
    </row>
    <row r="30" spans="1:15">
      <c r="A30" s="3" t="s">
        <v>229</v>
      </c>
      <c r="B30" s="4">
        <v>1570</v>
      </c>
      <c r="C30" s="4">
        <v>2988</v>
      </c>
      <c r="D30" s="5">
        <v>0.47</v>
      </c>
      <c r="E30" s="3">
        <v>-7</v>
      </c>
      <c r="F30" s="3">
        <v>2.1</v>
      </c>
      <c r="I30" s="4">
        <f t="shared" si="0"/>
        <v>1418</v>
      </c>
      <c r="J30" s="3" t="str">
        <f t="shared" si="1"/>
        <v>Poor</v>
      </c>
      <c r="K30" s="3" t="str">
        <f t="shared" si="2"/>
        <v>High Discount</v>
      </c>
      <c r="M30" s="3">
        <f t="shared" si="3"/>
        <v>3.1643830474759299E-2</v>
      </c>
      <c r="N30" s="3">
        <f t="shared" si="4"/>
        <v>-0.16336578929241238</v>
      </c>
      <c r="O30" s="3">
        <v>7</v>
      </c>
    </row>
    <row r="31" spans="1:15">
      <c r="A31" s="3" t="s">
        <v>18</v>
      </c>
      <c r="B31" s="4">
        <v>1580</v>
      </c>
      <c r="C31" s="4">
        <v>2499</v>
      </c>
      <c r="D31" s="5">
        <v>0.37</v>
      </c>
      <c r="E31" s="3">
        <v>-7</v>
      </c>
      <c r="F31" s="3">
        <v>4.7</v>
      </c>
      <c r="I31" s="4">
        <f t="shared" si="0"/>
        <v>919</v>
      </c>
      <c r="J31" s="3" t="str">
        <f t="shared" si="1"/>
        <v>Excellent</v>
      </c>
      <c r="K31" s="3" t="str">
        <f t="shared" si="2"/>
        <v>Medium Discount</v>
      </c>
      <c r="L31" s="4">
        <f>AVERAGE(C28:C131)</f>
        <v>1787.8846153846155</v>
      </c>
      <c r="M31" s="3">
        <f t="shared" si="3"/>
        <v>5.5699323226226531E-3</v>
      </c>
      <c r="N31" s="3">
        <f t="shared" si="4"/>
        <v>-0.10248076306562962</v>
      </c>
      <c r="O31" s="3">
        <v>7</v>
      </c>
    </row>
    <row r="32" spans="1:15">
      <c r="A32" s="3" t="s">
        <v>102</v>
      </c>
      <c r="B32" s="4">
        <v>185</v>
      </c>
      <c r="C32" s="4">
        <v>382</v>
      </c>
      <c r="D32" s="5">
        <v>0.52</v>
      </c>
      <c r="E32" s="3">
        <v>-9</v>
      </c>
      <c r="F32" s="3">
        <v>4.3</v>
      </c>
      <c r="I32" s="4">
        <f t="shared" si="0"/>
        <v>197</v>
      </c>
      <c r="J32" s="3" t="str">
        <f t="shared" si="1"/>
        <v>Average</v>
      </c>
      <c r="K32" s="3" t="str">
        <f t="shared" si="2"/>
        <v>High Discount</v>
      </c>
      <c r="M32" s="3">
        <f t="shared" si="3"/>
        <v>4.263032967023489E-3</v>
      </c>
      <c r="N32" s="3">
        <f t="shared" si="4"/>
        <v>-0.14030000138712415</v>
      </c>
      <c r="O32" s="3">
        <v>9</v>
      </c>
    </row>
    <row r="33" spans="1:15">
      <c r="A33" s="3" t="s">
        <v>108</v>
      </c>
      <c r="B33" s="4">
        <v>1820</v>
      </c>
      <c r="C33" s="4">
        <v>3490</v>
      </c>
      <c r="D33" s="5">
        <v>0.48</v>
      </c>
      <c r="E33" s="3">
        <v>-9</v>
      </c>
      <c r="F33" s="3">
        <v>4.3</v>
      </c>
      <c r="I33" s="4">
        <f t="shared" si="0"/>
        <v>1670</v>
      </c>
      <c r="J33" s="3" t="str">
        <f t="shared" si="1"/>
        <v>Average</v>
      </c>
      <c r="K33" s="3" t="str">
        <f t="shared" si="2"/>
        <v>High Discount</v>
      </c>
      <c r="M33" s="3">
        <f t="shared" si="3"/>
        <v>-3.6521559910268599E-2</v>
      </c>
      <c r="N33" s="3">
        <f t="shared" si="4"/>
        <v>-0.15817191200707839</v>
      </c>
      <c r="O33" s="3">
        <v>9</v>
      </c>
    </row>
    <row r="34" spans="1:15">
      <c r="A34" s="3" t="s">
        <v>53</v>
      </c>
      <c r="B34" s="4">
        <v>1680</v>
      </c>
      <c r="C34" s="4">
        <v>2499</v>
      </c>
      <c r="D34" s="5">
        <v>0.33</v>
      </c>
      <c r="E34" s="3">
        <v>-9</v>
      </c>
      <c r="F34" s="3">
        <v>4.2</v>
      </c>
      <c r="I34" s="4">
        <f t="shared" ref="I34:I65" si="5">C34-B34</f>
        <v>819</v>
      </c>
      <c r="J34" s="3" t="str">
        <f t="shared" ref="J34:J65" si="6">IF(F34&lt;3,"Poor",IF(F34&lt;4.5,"Average","Excellent"))</f>
        <v>Average</v>
      </c>
      <c r="K34" s="3" t="str">
        <f t="shared" ref="K34:K65" si="7">IF(D34&lt;20%,"Low Discount",IF(D34&lt;=40%,"Medium Discount","High Discount"))</f>
        <v>Medium Discount</v>
      </c>
      <c r="M34" s="3">
        <f t="shared" ref="M34:M65" si="8">CORREL(D34:D137,E34:E137)</f>
        <v>-7.2196854297123414E-2</v>
      </c>
      <c r="N34" s="3">
        <f t="shared" ref="N34:N65" si="9">CORREL(F34:F137,E34:E137)</f>
        <v>-0.17824277879089442</v>
      </c>
      <c r="O34" s="3">
        <v>9</v>
      </c>
    </row>
    <row r="35" spans="1:15">
      <c r="A35" s="3" t="s">
        <v>186</v>
      </c>
      <c r="B35" s="4">
        <v>458</v>
      </c>
      <c r="C35" s="4">
        <v>986</v>
      </c>
      <c r="D35" s="5">
        <v>0.54</v>
      </c>
      <c r="E35" s="3">
        <v>-10</v>
      </c>
      <c r="F35" s="3">
        <v>3</v>
      </c>
      <c r="I35" s="4">
        <f t="shared" si="5"/>
        <v>528</v>
      </c>
      <c r="J35" s="3" t="str">
        <f t="shared" si="6"/>
        <v>Average</v>
      </c>
      <c r="K35" s="3" t="str">
        <f t="shared" si="7"/>
        <v>High Discount</v>
      </c>
      <c r="M35" s="3">
        <f t="shared" si="8"/>
        <v>-6.6289398941068042E-2</v>
      </c>
      <c r="N35" s="3">
        <f t="shared" si="9"/>
        <v>-0.19559743954736153</v>
      </c>
      <c r="O35" s="3">
        <v>10</v>
      </c>
    </row>
    <row r="36" spans="1:15">
      <c r="A36" s="3" t="s">
        <v>47</v>
      </c>
      <c r="B36" s="4">
        <v>552</v>
      </c>
      <c r="C36" s="4">
        <v>1035</v>
      </c>
      <c r="D36" s="5">
        <v>0.47</v>
      </c>
      <c r="E36" s="3">
        <v>-12</v>
      </c>
      <c r="F36" s="3">
        <v>4.8</v>
      </c>
      <c r="I36" s="4">
        <f t="shared" si="5"/>
        <v>483</v>
      </c>
      <c r="J36" s="3" t="str">
        <f t="shared" si="6"/>
        <v>Excellent</v>
      </c>
      <c r="K36" s="3" t="str">
        <f t="shared" si="7"/>
        <v>High Discount</v>
      </c>
      <c r="L36" s="3" t="s">
        <v>330</v>
      </c>
      <c r="M36" s="3">
        <f t="shared" si="8"/>
        <v>-0.12841773337264228</v>
      </c>
      <c r="N36" s="3">
        <f t="shared" si="9"/>
        <v>-0.15934884939615401</v>
      </c>
      <c r="O36" s="3">
        <v>12</v>
      </c>
    </row>
    <row r="37" spans="1:15">
      <c r="A37" s="3" t="s">
        <v>105</v>
      </c>
      <c r="B37" s="4">
        <v>980</v>
      </c>
      <c r="C37" s="4">
        <v>1490</v>
      </c>
      <c r="D37" s="5">
        <v>0.34</v>
      </c>
      <c r="E37" s="3">
        <v>-12</v>
      </c>
      <c r="F37" s="3">
        <v>4.7</v>
      </c>
      <c r="I37" s="4">
        <f t="shared" si="5"/>
        <v>510</v>
      </c>
      <c r="J37" s="3" t="str">
        <f t="shared" si="6"/>
        <v>Excellent</v>
      </c>
      <c r="K37" s="3" t="str">
        <f t="shared" si="7"/>
        <v>Medium Discount</v>
      </c>
      <c r="M37" s="3">
        <f t="shared" si="8"/>
        <v>-0.16911359473983315</v>
      </c>
      <c r="N37" s="3">
        <f t="shared" si="9"/>
        <v>-0.20614434032631346</v>
      </c>
      <c r="O37" s="3">
        <v>12</v>
      </c>
    </row>
    <row r="38" spans="1:15">
      <c r="A38" s="3" t="s">
        <v>42</v>
      </c>
      <c r="B38" s="4">
        <v>799</v>
      </c>
      <c r="C38" s="4">
        <v>999</v>
      </c>
      <c r="D38" s="5">
        <v>0.2</v>
      </c>
      <c r="E38" s="3">
        <v>-12</v>
      </c>
      <c r="F38" s="3">
        <v>4.0999999999999996</v>
      </c>
      <c r="I38" s="4">
        <f t="shared" si="5"/>
        <v>200</v>
      </c>
      <c r="J38" s="3" t="str">
        <f t="shared" si="6"/>
        <v>Average</v>
      </c>
      <c r="K38" s="3" t="str">
        <f t="shared" si="7"/>
        <v>Medium Discount</v>
      </c>
      <c r="M38" s="3">
        <f t="shared" si="8"/>
        <v>-0.17144884351523265</v>
      </c>
      <c r="N38" s="3">
        <f t="shared" si="9"/>
        <v>-0.25528508399746669</v>
      </c>
      <c r="O38" s="3">
        <v>12</v>
      </c>
    </row>
    <row r="39" spans="1:15">
      <c r="A39" s="3" t="s">
        <v>92</v>
      </c>
      <c r="B39" s="4">
        <v>2880</v>
      </c>
      <c r="C39" s="4">
        <v>3520</v>
      </c>
      <c r="D39" s="5">
        <v>0.18</v>
      </c>
      <c r="E39" s="3">
        <v>-12</v>
      </c>
      <c r="F39" s="3">
        <v>3.8</v>
      </c>
      <c r="I39" s="4">
        <f t="shared" si="5"/>
        <v>640</v>
      </c>
      <c r="J39" s="3" t="str">
        <f t="shared" si="6"/>
        <v>Average</v>
      </c>
      <c r="K39" s="3" t="str">
        <f t="shared" si="7"/>
        <v>Low Discount</v>
      </c>
      <c r="M39" s="3">
        <f t="shared" si="8"/>
        <v>-0.13149208517924579</v>
      </c>
      <c r="N39" s="3">
        <f t="shared" si="9"/>
        <v>-0.27315416670262571</v>
      </c>
      <c r="O39" s="3">
        <v>12</v>
      </c>
    </row>
    <row r="40" spans="1:15">
      <c r="A40" s="3" t="s">
        <v>190</v>
      </c>
      <c r="B40" s="4">
        <v>2115</v>
      </c>
      <c r="C40" s="4">
        <v>4700</v>
      </c>
      <c r="D40" s="5">
        <v>0.55000000000000004</v>
      </c>
      <c r="E40" s="3">
        <v>-13</v>
      </c>
      <c r="F40" s="3">
        <v>2.1</v>
      </c>
      <c r="I40" s="4">
        <f t="shared" si="5"/>
        <v>2585</v>
      </c>
      <c r="J40" s="3" t="str">
        <f t="shared" si="6"/>
        <v>Poor</v>
      </c>
      <c r="K40" s="3" t="str">
        <f t="shared" si="7"/>
        <v>High Discount</v>
      </c>
      <c r="M40" s="3">
        <f t="shared" si="8"/>
        <v>-7.5580411135364539E-2</v>
      </c>
      <c r="N40" s="3">
        <f t="shared" si="9"/>
        <v>-0.27549608560148303</v>
      </c>
      <c r="O40" s="3">
        <v>13</v>
      </c>
    </row>
    <row r="41" spans="1:15">
      <c r="A41" s="3" t="s">
        <v>71</v>
      </c>
      <c r="B41" s="4">
        <v>38</v>
      </c>
      <c r="C41" s="4">
        <v>80</v>
      </c>
      <c r="D41" s="5">
        <v>0.53</v>
      </c>
      <c r="E41" s="3">
        <v>-13</v>
      </c>
      <c r="F41" s="3">
        <v>3.3</v>
      </c>
      <c r="I41" s="4">
        <f t="shared" si="5"/>
        <v>42</v>
      </c>
      <c r="J41" s="3" t="str">
        <f t="shared" si="6"/>
        <v>Average</v>
      </c>
      <c r="K41" s="3" t="str">
        <f t="shared" si="7"/>
        <v>High Discount</v>
      </c>
      <c r="M41" s="3">
        <f t="shared" si="8"/>
        <v>-0.1631348812526745</v>
      </c>
      <c r="N41" s="3">
        <f t="shared" si="9"/>
        <v>-0.20390852895857203</v>
      </c>
      <c r="O41" s="3">
        <v>13</v>
      </c>
    </row>
    <row r="42" spans="1:15">
      <c r="A42" s="3" t="s">
        <v>95</v>
      </c>
      <c r="B42" s="4">
        <v>1350</v>
      </c>
      <c r="C42" s="4">
        <v>1990</v>
      </c>
      <c r="D42" s="5">
        <v>0.32</v>
      </c>
      <c r="E42" s="3">
        <v>-13</v>
      </c>
      <c r="F42" s="3">
        <v>3.8</v>
      </c>
      <c r="I42" s="4">
        <f t="shared" si="5"/>
        <v>640</v>
      </c>
      <c r="J42" s="3" t="str">
        <f t="shared" si="6"/>
        <v>Average</v>
      </c>
      <c r="K42" s="3" t="str">
        <f t="shared" si="7"/>
        <v>Medium Discount</v>
      </c>
      <c r="M42" s="3">
        <f t="shared" si="8"/>
        <v>-0.26905897156911579</v>
      </c>
      <c r="N42" s="3">
        <f t="shared" si="9"/>
        <v>-0.16355150799795512</v>
      </c>
      <c r="O42" s="3">
        <v>13</v>
      </c>
    </row>
    <row r="43" spans="1:15">
      <c r="A43" s="3" t="s">
        <v>10</v>
      </c>
      <c r="B43" s="4">
        <v>527</v>
      </c>
      <c r="C43" s="4">
        <v>999</v>
      </c>
      <c r="D43" s="5">
        <v>0.47</v>
      </c>
      <c r="E43" s="3">
        <v>-14</v>
      </c>
      <c r="F43" s="3">
        <v>4.0999999999999996</v>
      </c>
      <c r="I43" s="4">
        <f t="shared" si="5"/>
        <v>472</v>
      </c>
      <c r="J43" s="3" t="str">
        <f t="shared" si="6"/>
        <v>Average</v>
      </c>
      <c r="K43" s="3" t="str">
        <f t="shared" si="7"/>
        <v>High Discount</v>
      </c>
      <c r="M43" s="3">
        <f t="shared" si="8"/>
        <v>-0.26890343254871313</v>
      </c>
      <c r="N43" s="3">
        <f t="shared" si="9"/>
        <v>-0.15206905561134426</v>
      </c>
      <c r="O43" s="3">
        <v>14</v>
      </c>
    </row>
    <row r="44" spans="1:15">
      <c r="A44" s="3" t="s">
        <v>81</v>
      </c>
      <c r="B44" s="4">
        <v>1650</v>
      </c>
      <c r="C44" s="4">
        <v>2150</v>
      </c>
      <c r="D44" s="5">
        <v>0.23</v>
      </c>
      <c r="E44" s="3">
        <v>-14</v>
      </c>
      <c r="F44" s="3">
        <v>4.4000000000000004</v>
      </c>
      <c r="I44" s="4">
        <f t="shared" si="5"/>
        <v>500</v>
      </c>
      <c r="J44" s="3" t="str">
        <f t="shared" si="6"/>
        <v>Average</v>
      </c>
      <c r="K44" s="3" t="str">
        <f t="shared" si="7"/>
        <v>Medium Discount</v>
      </c>
      <c r="M44" s="3">
        <f t="shared" si="8"/>
        <v>-0.36661444165827495</v>
      </c>
      <c r="N44" s="3">
        <f t="shared" si="9"/>
        <v>-0.16469567085564671</v>
      </c>
      <c r="O44" s="3">
        <v>14</v>
      </c>
    </row>
    <row r="45" spans="1:15">
      <c r="A45" s="3" t="s">
        <v>198</v>
      </c>
      <c r="B45" s="4">
        <v>325</v>
      </c>
      <c r="C45" s="4">
        <v>680</v>
      </c>
      <c r="D45" s="5">
        <v>0.52</v>
      </c>
      <c r="E45" s="3">
        <v>-15</v>
      </c>
      <c r="F45" s="3">
        <v>2.7</v>
      </c>
      <c r="I45" s="4">
        <f t="shared" si="5"/>
        <v>355</v>
      </c>
      <c r="J45" s="3" t="str">
        <f t="shared" si="6"/>
        <v>Poor</v>
      </c>
      <c r="K45" s="3" t="str">
        <f t="shared" si="7"/>
        <v>High Discount</v>
      </c>
      <c r="M45" s="3">
        <f t="shared" si="8"/>
        <v>-0.32628689451988768</v>
      </c>
      <c r="N45" s="3">
        <f t="shared" si="9"/>
        <v>-0.21139429032677415</v>
      </c>
      <c r="O45" s="3">
        <v>15</v>
      </c>
    </row>
    <row r="46" spans="1:15">
      <c r="A46" s="3" t="s">
        <v>26</v>
      </c>
      <c r="B46" s="4">
        <v>2999</v>
      </c>
      <c r="C46" s="4">
        <v>3290</v>
      </c>
      <c r="D46" s="5">
        <v>0.09</v>
      </c>
      <c r="E46" s="3">
        <v>-15</v>
      </c>
      <c r="F46" s="3">
        <v>4</v>
      </c>
      <c r="I46" s="4">
        <f t="shared" si="5"/>
        <v>291</v>
      </c>
      <c r="J46" s="3" t="str">
        <f t="shared" si="6"/>
        <v>Average</v>
      </c>
      <c r="K46" s="3" t="str">
        <f t="shared" si="7"/>
        <v>Low Discount</v>
      </c>
      <c r="L46" s="3" t="s">
        <v>328</v>
      </c>
      <c r="M46" s="3">
        <f t="shared" si="8"/>
        <v>-0.52086718702603962</v>
      </c>
      <c r="N46" s="3">
        <f t="shared" si="9"/>
        <v>-9.7512266045137769E-2</v>
      </c>
      <c r="O46" s="3">
        <v>15</v>
      </c>
    </row>
    <row r="47" spans="1:15">
      <c r="A47" s="3" t="s">
        <v>202</v>
      </c>
      <c r="B47" s="4">
        <v>1220</v>
      </c>
      <c r="C47" s="4">
        <v>1555</v>
      </c>
      <c r="D47" s="5">
        <v>0.22</v>
      </c>
      <c r="E47" s="3">
        <v>-16</v>
      </c>
      <c r="F47" s="3">
        <v>2.9</v>
      </c>
      <c r="I47" s="4">
        <f t="shared" si="5"/>
        <v>335</v>
      </c>
      <c r="J47" s="3" t="str">
        <f t="shared" si="6"/>
        <v>Poor</v>
      </c>
      <c r="K47" s="3" t="str">
        <f t="shared" si="7"/>
        <v>Medium Discount</v>
      </c>
      <c r="M47" s="3">
        <f t="shared" si="8"/>
        <v>-0.42980838623861628</v>
      </c>
      <c r="N47" s="3">
        <f t="shared" si="9"/>
        <v>-9.2973520425626316E-2</v>
      </c>
      <c r="O47" s="3">
        <v>16</v>
      </c>
    </row>
    <row r="48" spans="1:15">
      <c r="A48" s="3" t="s">
        <v>215</v>
      </c>
      <c r="B48" s="4">
        <v>382</v>
      </c>
      <c r="C48" s="4">
        <v>700</v>
      </c>
      <c r="D48" s="5">
        <v>0.45</v>
      </c>
      <c r="E48" s="3">
        <v>-17</v>
      </c>
      <c r="F48" s="3">
        <v>2.6</v>
      </c>
      <c r="I48" s="4">
        <f t="shared" si="5"/>
        <v>318</v>
      </c>
      <c r="J48" s="3" t="str">
        <f t="shared" si="6"/>
        <v>Poor</v>
      </c>
      <c r="K48" s="3" t="str">
        <f t="shared" si="7"/>
        <v>High Discount</v>
      </c>
      <c r="M48" s="3">
        <f t="shared" si="8"/>
        <v>-0.33909822444926685</v>
      </c>
      <c r="N48" s="3">
        <f t="shared" si="9"/>
        <v>8.4800964887704028E-2</v>
      </c>
      <c r="O48" s="3">
        <v>17</v>
      </c>
    </row>
    <row r="49" spans="1:15">
      <c r="A49" s="3" t="s">
        <v>97</v>
      </c>
      <c r="B49" s="4">
        <v>1758</v>
      </c>
      <c r="C49" s="4">
        <v>2499</v>
      </c>
      <c r="D49" s="5">
        <v>0.3</v>
      </c>
      <c r="E49" s="3">
        <v>-20</v>
      </c>
      <c r="F49" s="3">
        <v>4.0999999999999996</v>
      </c>
      <c r="I49" s="4">
        <f t="shared" si="5"/>
        <v>741</v>
      </c>
      <c r="J49" s="3" t="str">
        <f t="shared" si="6"/>
        <v>Average</v>
      </c>
      <c r="K49" s="3" t="str">
        <f t="shared" si="7"/>
        <v>Medium Discount</v>
      </c>
      <c r="M49" s="3">
        <f t="shared" si="8"/>
        <v>-0.55434546761445347</v>
      </c>
      <c r="N49" s="3">
        <f t="shared" si="9"/>
        <v>0.54843595697122194</v>
      </c>
      <c r="O49" s="3">
        <v>20</v>
      </c>
    </row>
    <row r="50" spans="1:15">
      <c r="A50" s="3" t="s">
        <v>111</v>
      </c>
      <c r="B50" s="4">
        <v>1940</v>
      </c>
      <c r="C50" s="4">
        <v>2650</v>
      </c>
      <c r="D50" s="5">
        <v>0.27</v>
      </c>
      <c r="E50" s="3">
        <v>-20</v>
      </c>
      <c r="F50" s="3">
        <v>4.7</v>
      </c>
      <c r="I50" s="4">
        <f t="shared" si="5"/>
        <v>710</v>
      </c>
      <c r="J50" s="3" t="str">
        <f t="shared" si="6"/>
        <v>Excellent</v>
      </c>
      <c r="K50" s="3" t="str">
        <f t="shared" si="7"/>
        <v>Medium Discount</v>
      </c>
      <c r="M50" s="3">
        <f t="shared" si="8"/>
        <v>-0.54577133756276719</v>
      </c>
      <c r="N50" s="3">
        <f t="shared" si="9"/>
        <v>0.68007877853967413</v>
      </c>
      <c r="O50" s="3">
        <v>20</v>
      </c>
    </row>
    <row r="51" spans="1:15">
      <c r="A51" s="3" t="s">
        <v>14</v>
      </c>
      <c r="B51" s="4">
        <v>2199</v>
      </c>
      <c r="C51" s="4">
        <v>2923</v>
      </c>
      <c r="D51" s="5">
        <v>0.25</v>
      </c>
      <c r="E51" s="3">
        <v>-24</v>
      </c>
      <c r="F51" s="3">
        <v>4.5999999999999996</v>
      </c>
      <c r="I51" s="4">
        <f t="shared" si="5"/>
        <v>724</v>
      </c>
      <c r="J51" s="3" t="str">
        <f t="shared" si="6"/>
        <v>Excellent</v>
      </c>
      <c r="K51" s="3" t="str">
        <f t="shared" si="7"/>
        <v>Medium Discount</v>
      </c>
      <c r="L51" s="3" t="s">
        <v>327</v>
      </c>
      <c r="M51" s="3">
        <f t="shared" si="8"/>
        <v>-0.4844303653315376</v>
      </c>
      <c r="N51" s="3">
        <f t="shared" si="9"/>
        <v>0.68565730612227538</v>
      </c>
      <c r="O51" s="3">
        <v>24</v>
      </c>
    </row>
    <row r="52" spans="1:15">
      <c r="A52" s="3" t="s">
        <v>114</v>
      </c>
      <c r="B52" s="4">
        <v>1980</v>
      </c>
      <c r="C52" s="4">
        <v>2699</v>
      </c>
      <c r="D52" s="5">
        <v>0.27</v>
      </c>
      <c r="E52" s="3">
        <v>-32</v>
      </c>
      <c r="F52" s="3">
        <v>4.5</v>
      </c>
      <c r="I52" s="4">
        <f t="shared" si="5"/>
        <v>719</v>
      </c>
      <c r="J52" s="3" t="str">
        <f t="shared" si="6"/>
        <v>Excellent</v>
      </c>
      <c r="K52" s="3" t="str">
        <f t="shared" si="7"/>
        <v>Medium Discount</v>
      </c>
      <c r="M52" s="3">
        <f t="shared" si="8"/>
        <v>-0.33203337964335711</v>
      </c>
      <c r="N52" s="3">
        <f t="shared" si="9"/>
        <v>0.72323594557114823</v>
      </c>
      <c r="O52" s="3">
        <v>32</v>
      </c>
    </row>
    <row r="53" spans="1:15">
      <c r="A53" s="3" t="s">
        <v>122</v>
      </c>
      <c r="B53" s="4">
        <v>389</v>
      </c>
      <c r="C53" s="4">
        <v>656</v>
      </c>
      <c r="D53" s="5">
        <v>0.41</v>
      </c>
      <c r="E53" s="3">
        <v>-36</v>
      </c>
      <c r="F53" s="3">
        <v>4.3</v>
      </c>
      <c r="I53" s="4">
        <f t="shared" si="5"/>
        <v>267</v>
      </c>
      <c r="J53" s="3" t="str">
        <f t="shared" si="6"/>
        <v>Average</v>
      </c>
      <c r="K53" s="3" t="str">
        <f t="shared" si="7"/>
        <v>High Discount</v>
      </c>
      <c r="M53" s="3">
        <f t="shared" si="8"/>
        <v>-0.14243444328253582</v>
      </c>
      <c r="N53" s="3">
        <f t="shared" si="9"/>
        <v>0.76471322749464044</v>
      </c>
      <c r="O53" s="3">
        <v>36</v>
      </c>
    </row>
    <row r="54" spans="1:15">
      <c r="A54" s="3" t="s">
        <v>44</v>
      </c>
      <c r="B54" s="4">
        <v>990</v>
      </c>
      <c r="C54" s="4">
        <v>1500</v>
      </c>
      <c r="D54" s="5">
        <v>0.34</v>
      </c>
      <c r="E54" s="3">
        <v>-39</v>
      </c>
      <c r="F54" s="3">
        <v>4.7</v>
      </c>
      <c r="I54" s="4">
        <f t="shared" si="5"/>
        <v>510</v>
      </c>
      <c r="J54" s="3" t="str">
        <f t="shared" si="6"/>
        <v>Excellent</v>
      </c>
      <c r="K54" s="3" t="str">
        <f t="shared" si="7"/>
        <v>Medium Discount</v>
      </c>
      <c r="M54" s="3">
        <f t="shared" si="8"/>
        <v>-0.23834909755410968</v>
      </c>
      <c r="N54" s="3">
        <f t="shared" si="9"/>
        <v>0.87820875916952779</v>
      </c>
      <c r="O54" s="3">
        <v>39</v>
      </c>
    </row>
    <row r="55" spans="1:15">
      <c r="A55" s="3" t="s">
        <v>68</v>
      </c>
      <c r="B55" s="4">
        <v>998</v>
      </c>
      <c r="C55" s="4">
        <v>1966</v>
      </c>
      <c r="D55" s="5">
        <v>0.49</v>
      </c>
      <c r="E55" s="3">
        <v>-44</v>
      </c>
      <c r="F55" s="3">
        <v>4.5999999999999996</v>
      </c>
      <c r="I55" s="4">
        <f t="shared" si="5"/>
        <v>968</v>
      </c>
      <c r="J55" s="3" t="str">
        <f t="shared" si="6"/>
        <v>Excellent</v>
      </c>
      <c r="K55" s="3" t="str">
        <f t="shared" si="7"/>
        <v>High Discount</v>
      </c>
      <c r="L55" s="3">
        <f>AVERAGE(F37:F129)</f>
        <v>3.9082379862700223</v>
      </c>
      <c r="M55" s="3">
        <f t="shared" si="8"/>
        <v>-0.13924805033834411</v>
      </c>
      <c r="N55" s="3">
        <f t="shared" si="9"/>
        <v>0.90941591201255123</v>
      </c>
      <c r="O55" s="3">
        <v>44</v>
      </c>
    </row>
    <row r="56" spans="1:15">
      <c r="A56" s="3" t="s">
        <v>89</v>
      </c>
      <c r="B56" s="4">
        <v>420</v>
      </c>
      <c r="C56" s="4">
        <v>647</v>
      </c>
      <c r="D56" s="5">
        <v>0.35</v>
      </c>
      <c r="E56" s="3">
        <v>-49</v>
      </c>
      <c r="F56" s="3">
        <v>4.5999999999999996</v>
      </c>
      <c r="I56" s="4">
        <f t="shared" si="5"/>
        <v>227</v>
      </c>
      <c r="J56" s="3" t="str">
        <f t="shared" si="6"/>
        <v>Excellent</v>
      </c>
      <c r="K56" s="3" t="str">
        <f t="shared" si="7"/>
        <v>Medium Discount</v>
      </c>
      <c r="M56" s="3">
        <f t="shared" si="8"/>
        <v>-0.73096252724610122</v>
      </c>
      <c r="N56" s="3">
        <f t="shared" si="9"/>
        <v>0.95632471578712053</v>
      </c>
      <c r="O56" s="3">
        <v>49</v>
      </c>
    </row>
    <row r="57" spans="1:15">
      <c r="A57" s="3" t="s">
        <v>30</v>
      </c>
      <c r="B57" s="4">
        <v>2319</v>
      </c>
      <c r="C57" s="4">
        <v>3032</v>
      </c>
      <c r="D57" s="5">
        <v>0.24</v>
      </c>
      <c r="E57" s="3">
        <v>-55</v>
      </c>
      <c r="F57" s="3">
        <v>4.5999999999999996</v>
      </c>
      <c r="I57" s="4">
        <f t="shared" si="5"/>
        <v>713</v>
      </c>
      <c r="J57" s="3" t="str">
        <f t="shared" si="6"/>
        <v>Excellent</v>
      </c>
      <c r="K57" s="3" t="str">
        <f t="shared" si="7"/>
        <v>Medium Discount</v>
      </c>
      <c r="L57" s="5">
        <f>AVERAGE(D51:D154)</f>
        <v>0.32514079670329671</v>
      </c>
      <c r="M57" s="3">
        <f t="shared" si="8"/>
        <v>-1</v>
      </c>
      <c r="N57" s="3">
        <f t="shared" si="9"/>
        <v>1</v>
      </c>
      <c r="O57" s="3">
        <v>55</v>
      </c>
    </row>
    <row r="58" spans="1:15">
      <c r="A58" s="3" t="s">
        <v>194</v>
      </c>
      <c r="B58" s="4">
        <v>445</v>
      </c>
      <c r="C58" s="4">
        <v>873</v>
      </c>
      <c r="D58" s="5">
        <v>0.49</v>
      </c>
      <c r="E58" s="3">
        <v>-69</v>
      </c>
      <c r="F58" s="3">
        <v>2.8</v>
      </c>
      <c r="I58" s="4">
        <f t="shared" si="5"/>
        <v>428</v>
      </c>
      <c r="J58" s="3" t="str">
        <f t="shared" si="6"/>
        <v>Poor</v>
      </c>
      <c r="K58" s="3" t="str">
        <f t="shared" si="7"/>
        <v>High Discount</v>
      </c>
      <c r="M58" s="3" t="e">
        <f t="shared" si="8"/>
        <v>#DIV/0!</v>
      </c>
      <c r="N58" s="3" t="e">
        <f t="shared" si="9"/>
        <v>#DIV/0!</v>
      </c>
      <c r="O58" s="3">
        <v>69</v>
      </c>
    </row>
    <row r="59" spans="1:15">
      <c r="A59" s="3" t="s">
        <v>316</v>
      </c>
      <c r="B59" s="4">
        <v>199</v>
      </c>
      <c r="C59" s="4">
        <v>553</v>
      </c>
      <c r="D59" s="5">
        <v>0.64</v>
      </c>
      <c r="F59" s="16">
        <f>AVERAGE(F2:F58)</f>
        <v>3.8894736842105258</v>
      </c>
      <c r="I59" s="4">
        <f t="shared" si="5"/>
        <v>354</v>
      </c>
      <c r="J59" s="3" t="str">
        <f t="shared" si="6"/>
        <v>Average</v>
      </c>
      <c r="K59" s="3" t="str">
        <f t="shared" si="7"/>
        <v>High Discount</v>
      </c>
      <c r="M59" s="3" t="e">
        <f t="shared" si="8"/>
        <v>#DIV/0!</v>
      </c>
      <c r="N59" s="3" t="e">
        <f t="shared" si="9"/>
        <v>#DIV/0!</v>
      </c>
      <c r="O59" s="3">
        <v>0</v>
      </c>
    </row>
    <row r="60" spans="1:15">
      <c r="A60" s="3" t="s">
        <v>134</v>
      </c>
      <c r="B60" s="4">
        <v>238</v>
      </c>
      <c r="C60" s="4">
        <v>476</v>
      </c>
      <c r="D60" s="5">
        <v>0.5</v>
      </c>
      <c r="H60" s="3">
        <f>(1620+1980)/2</f>
        <v>1800</v>
      </c>
      <c r="I60" s="4">
        <f t="shared" si="5"/>
        <v>238</v>
      </c>
      <c r="J60" s="3" t="str">
        <f t="shared" si="6"/>
        <v>Poor</v>
      </c>
      <c r="K60" s="3" t="str">
        <f t="shared" si="7"/>
        <v>High Discount</v>
      </c>
      <c r="M60" s="3" t="e">
        <f t="shared" si="8"/>
        <v>#DIV/0!</v>
      </c>
      <c r="N60" s="3" t="e">
        <f t="shared" si="9"/>
        <v>#DIV/0!</v>
      </c>
      <c r="O60" s="3">
        <v>0</v>
      </c>
    </row>
    <row r="61" spans="1:15">
      <c r="A61" s="3" t="s">
        <v>143</v>
      </c>
      <c r="B61" s="4">
        <v>999</v>
      </c>
      <c r="C61" s="4">
        <v>2000</v>
      </c>
      <c r="D61" s="5">
        <v>0.5</v>
      </c>
      <c r="I61" s="4">
        <f t="shared" si="5"/>
        <v>1001</v>
      </c>
      <c r="J61" s="3" t="str">
        <f t="shared" si="6"/>
        <v>Poor</v>
      </c>
      <c r="K61" s="3" t="str">
        <f t="shared" si="7"/>
        <v>High Discount</v>
      </c>
      <c r="M61" s="3" t="e">
        <f t="shared" si="8"/>
        <v>#DIV/0!</v>
      </c>
      <c r="N61" s="3" t="e">
        <f t="shared" si="9"/>
        <v>#DIV/0!</v>
      </c>
      <c r="O61" s="3">
        <v>0</v>
      </c>
    </row>
    <row r="62" spans="1:15">
      <c r="A62" s="3" t="s">
        <v>157</v>
      </c>
      <c r="B62" s="4">
        <v>299</v>
      </c>
      <c r="C62" s="4">
        <v>600</v>
      </c>
      <c r="D62" s="5">
        <v>0.5</v>
      </c>
      <c r="I62" s="4">
        <f t="shared" si="5"/>
        <v>301</v>
      </c>
      <c r="J62" s="3" t="str">
        <f t="shared" si="6"/>
        <v>Poor</v>
      </c>
      <c r="K62" s="3" t="str">
        <f t="shared" si="7"/>
        <v>High Discount</v>
      </c>
      <c r="M62" s="3" t="e">
        <f t="shared" si="8"/>
        <v>#DIV/0!</v>
      </c>
      <c r="N62" s="3" t="e">
        <f t="shared" si="9"/>
        <v>#DIV/0!</v>
      </c>
      <c r="O62" s="3">
        <v>0</v>
      </c>
    </row>
    <row r="63" spans="1:15">
      <c r="A63" s="3" t="s">
        <v>269</v>
      </c>
      <c r="B63" s="4">
        <v>850</v>
      </c>
      <c r="C63" s="4">
        <v>1700</v>
      </c>
      <c r="D63" s="5">
        <v>0.5</v>
      </c>
      <c r="I63" s="4">
        <f t="shared" si="5"/>
        <v>850</v>
      </c>
      <c r="J63" s="3" t="str">
        <f t="shared" si="6"/>
        <v>Poor</v>
      </c>
      <c r="K63" s="3" t="str">
        <f t="shared" si="7"/>
        <v>High Discount</v>
      </c>
      <c r="M63" s="3" t="e">
        <f t="shared" si="8"/>
        <v>#DIV/0!</v>
      </c>
      <c r="N63" s="3" t="e">
        <f t="shared" si="9"/>
        <v>#DIV/0!</v>
      </c>
      <c r="O63" s="3">
        <v>0</v>
      </c>
    </row>
    <row r="64" spans="1:15">
      <c r="A64" s="3" t="s">
        <v>278</v>
      </c>
      <c r="B64" s="4">
        <v>1200</v>
      </c>
      <c r="C64" s="4">
        <v>2400</v>
      </c>
      <c r="D64" s="5">
        <v>0.5</v>
      </c>
      <c r="I64" s="4">
        <f t="shared" si="5"/>
        <v>1200</v>
      </c>
      <c r="J64" s="3" t="str">
        <f t="shared" si="6"/>
        <v>Poor</v>
      </c>
      <c r="K64" s="3" t="str">
        <f t="shared" si="7"/>
        <v>High Discount</v>
      </c>
      <c r="M64" s="3" t="e">
        <f t="shared" si="8"/>
        <v>#DIV/0!</v>
      </c>
      <c r="N64" s="3" t="e">
        <f t="shared" si="9"/>
        <v>#DIV/0!</v>
      </c>
      <c r="O64" s="3">
        <v>0</v>
      </c>
    </row>
    <row r="65" spans="1:15">
      <c r="A65" s="3" t="s">
        <v>131</v>
      </c>
      <c r="B65" s="4">
        <v>475</v>
      </c>
      <c r="C65" s="4">
        <v>931</v>
      </c>
      <c r="D65" s="5">
        <v>0.49</v>
      </c>
      <c r="I65" s="4">
        <f t="shared" si="5"/>
        <v>456</v>
      </c>
      <c r="J65" s="3" t="str">
        <f t="shared" si="6"/>
        <v>Poor</v>
      </c>
      <c r="K65" s="3" t="str">
        <f t="shared" si="7"/>
        <v>High Discount</v>
      </c>
      <c r="M65" s="3" t="e">
        <f t="shared" si="8"/>
        <v>#DIV/0!</v>
      </c>
      <c r="N65" s="3" t="e">
        <f t="shared" si="9"/>
        <v>#DIV/0!</v>
      </c>
      <c r="O65" s="3">
        <v>0</v>
      </c>
    </row>
    <row r="66" spans="1:15">
      <c r="A66" s="3" t="s">
        <v>148</v>
      </c>
      <c r="B66" s="4">
        <v>671</v>
      </c>
      <c r="C66" s="4">
        <v>1316</v>
      </c>
      <c r="D66" s="5">
        <v>0.49</v>
      </c>
      <c r="I66" s="4">
        <f t="shared" ref="I66:I97" si="10">C66-B66</f>
        <v>645</v>
      </c>
      <c r="J66" s="3" t="str">
        <f t="shared" ref="J66:J97" si="11">IF(F66&lt;3,"Poor",IF(F66&lt;4.5,"Average","Excellent"))</f>
        <v>Poor</v>
      </c>
      <c r="K66" s="3" t="str">
        <f t="shared" ref="K66:K97" si="12">IF(D66&lt;20%,"Low Discount",IF(D66&lt;=40%,"Medium Discount","High Discount"))</f>
        <v>High Discount</v>
      </c>
      <c r="M66" s="3" t="e">
        <f t="shared" ref="M66:M97" si="13">CORREL(D66:D169,E66:E169)</f>
        <v>#DIV/0!</v>
      </c>
      <c r="N66" s="3" t="e">
        <f t="shared" ref="N66:N97" si="14">CORREL(F66:F169,E66:E169)</f>
        <v>#DIV/0!</v>
      </c>
      <c r="O66" s="3">
        <v>0</v>
      </c>
    </row>
    <row r="67" spans="1:15">
      <c r="A67" s="3" t="s">
        <v>240</v>
      </c>
      <c r="B67" s="4">
        <v>230</v>
      </c>
      <c r="C67" s="4">
        <v>450</v>
      </c>
      <c r="D67" s="5">
        <v>0.49</v>
      </c>
      <c r="I67" s="4">
        <f t="shared" si="10"/>
        <v>220</v>
      </c>
      <c r="J67" s="3" t="str">
        <f t="shared" si="11"/>
        <v>Poor</v>
      </c>
      <c r="K67" s="3" t="str">
        <f t="shared" si="12"/>
        <v>High Discount</v>
      </c>
      <c r="M67" s="3" t="e">
        <f t="shared" si="13"/>
        <v>#DIV/0!</v>
      </c>
      <c r="N67" s="3" t="e">
        <f t="shared" si="14"/>
        <v>#DIV/0!</v>
      </c>
      <c r="O67" s="3">
        <v>0</v>
      </c>
    </row>
    <row r="68" spans="1:15">
      <c r="A68" s="3" t="s">
        <v>258</v>
      </c>
      <c r="B68" s="4">
        <v>274</v>
      </c>
      <c r="C68" s="4">
        <v>537</v>
      </c>
      <c r="D68" s="5">
        <v>0.49</v>
      </c>
      <c r="I68" s="4">
        <f t="shared" si="10"/>
        <v>263</v>
      </c>
      <c r="J68" s="3" t="str">
        <f t="shared" si="11"/>
        <v>Poor</v>
      </c>
      <c r="K68" s="3" t="str">
        <f t="shared" si="12"/>
        <v>High Discount</v>
      </c>
      <c r="M68" s="3" t="e">
        <f t="shared" si="13"/>
        <v>#DIV/0!</v>
      </c>
      <c r="N68" s="3" t="e">
        <f t="shared" si="14"/>
        <v>#DIV/0!</v>
      </c>
      <c r="O68" s="3">
        <v>0</v>
      </c>
    </row>
    <row r="69" spans="1:15">
      <c r="A69" s="3" t="s">
        <v>284</v>
      </c>
      <c r="B69" s="4">
        <v>248</v>
      </c>
      <c r="C69" s="4">
        <v>486</v>
      </c>
      <c r="D69" s="5">
        <v>0.49</v>
      </c>
      <c r="I69" s="4">
        <f t="shared" si="10"/>
        <v>238</v>
      </c>
      <c r="J69" s="3" t="str">
        <f t="shared" si="11"/>
        <v>Poor</v>
      </c>
      <c r="K69" s="3" t="str">
        <f t="shared" si="12"/>
        <v>High Discount</v>
      </c>
      <c r="M69" s="3" t="e">
        <f t="shared" si="13"/>
        <v>#DIV/0!</v>
      </c>
      <c r="N69" s="3" t="e">
        <f t="shared" si="14"/>
        <v>#DIV/0!</v>
      </c>
      <c r="O69" s="3">
        <v>0</v>
      </c>
    </row>
    <row r="70" spans="1:15">
      <c r="A70" s="3" t="s">
        <v>289</v>
      </c>
      <c r="B70" s="4">
        <v>525</v>
      </c>
      <c r="C70" s="4">
        <v>1029</v>
      </c>
      <c r="D70" s="5">
        <v>0.49</v>
      </c>
      <c r="I70" s="4">
        <f t="shared" si="10"/>
        <v>504</v>
      </c>
      <c r="J70" s="3" t="str">
        <f t="shared" si="11"/>
        <v>Poor</v>
      </c>
      <c r="K70" s="3" t="str">
        <f t="shared" si="12"/>
        <v>High Discount</v>
      </c>
      <c r="M70" s="3" t="e">
        <f t="shared" si="13"/>
        <v>#DIV/0!</v>
      </c>
      <c r="N70" s="3" t="e">
        <f t="shared" si="14"/>
        <v>#DIV/0!</v>
      </c>
      <c r="O70" s="3">
        <v>0</v>
      </c>
    </row>
    <row r="71" spans="1:15">
      <c r="A71" s="3" t="s">
        <v>173</v>
      </c>
      <c r="B71" s="4">
        <v>699</v>
      </c>
      <c r="C71" s="4">
        <v>1343</v>
      </c>
      <c r="D71" s="5">
        <v>0.48</v>
      </c>
      <c r="I71" s="4">
        <f t="shared" si="10"/>
        <v>644</v>
      </c>
      <c r="J71" s="3" t="str">
        <f t="shared" si="11"/>
        <v>Poor</v>
      </c>
      <c r="K71" s="3" t="str">
        <f t="shared" si="12"/>
        <v>High Discount</v>
      </c>
      <c r="M71" s="3" t="e">
        <f t="shared" si="13"/>
        <v>#DIV/0!</v>
      </c>
      <c r="N71" s="3" t="e">
        <f t="shared" si="14"/>
        <v>#DIV/0!</v>
      </c>
      <c r="O71" s="3">
        <v>0</v>
      </c>
    </row>
    <row r="72" spans="1:15">
      <c r="A72" s="3" t="s">
        <v>272</v>
      </c>
      <c r="B72" s="4">
        <v>1300</v>
      </c>
      <c r="C72" s="4">
        <v>2500</v>
      </c>
      <c r="D72" s="5">
        <v>0.48</v>
      </c>
      <c r="I72" s="4">
        <f t="shared" si="10"/>
        <v>1200</v>
      </c>
      <c r="J72" s="3" t="str">
        <f t="shared" si="11"/>
        <v>Poor</v>
      </c>
      <c r="K72" s="3" t="str">
        <f t="shared" si="12"/>
        <v>High Discount</v>
      </c>
      <c r="M72" s="3" t="e">
        <f t="shared" si="13"/>
        <v>#DIV/0!</v>
      </c>
      <c r="N72" s="3" t="e">
        <f t="shared" si="14"/>
        <v>#DIV/0!</v>
      </c>
      <c r="O72" s="3">
        <v>0</v>
      </c>
    </row>
    <row r="73" spans="1:15">
      <c r="A73" s="3" t="s">
        <v>274</v>
      </c>
      <c r="B73" s="4">
        <v>105</v>
      </c>
      <c r="C73" s="4">
        <v>200</v>
      </c>
      <c r="D73" s="5">
        <v>0.48</v>
      </c>
      <c r="I73" s="4">
        <f t="shared" si="10"/>
        <v>95</v>
      </c>
      <c r="J73" s="3" t="str">
        <f t="shared" si="11"/>
        <v>Poor</v>
      </c>
      <c r="K73" s="3" t="str">
        <f t="shared" si="12"/>
        <v>High Discount</v>
      </c>
      <c r="M73" s="3" t="e">
        <f t="shared" si="13"/>
        <v>#DIV/0!</v>
      </c>
      <c r="N73" s="3" t="e">
        <f t="shared" si="14"/>
        <v>#DIV/0!</v>
      </c>
      <c r="O73" s="3">
        <v>0</v>
      </c>
    </row>
    <row r="74" spans="1:15">
      <c r="A74" s="3" t="s">
        <v>232</v>
      </c>
      <c r="B74" s="4">
        <v>790</v>
      </c>
      <c r="C74" s="4">
        <v>1485</v>
      </c>
      <c r="D74" s="5">
        <v>0.47</v>
      </c>
      <c r="I74" s="4">
        <f t="shared" si="10"/>
        <v>695</v>
      </c>
      <c r="J74" s="3" t="str">
        <f t="shared" si="11"/>
        <v>Poor</v>
      </c>
      <c r="K74" s="3" t="str">
        <f t="shared" si="12"/>
        <v>High Discount</v>
      </c>
      <c r="M74" s="3" t="e">
        <f t="shared" si="13"/>
        <v>#DIV/0!</v>
      </c>
      <c r="N74" s="3" t="e">
        <f t="shared" si="14"/>
        <v>#DIV/0!</v>
      </c>
      <c r="O74" s="3">
        <v>0</v>
      </c>
    </row>
    <row r="75" spans="1:15">
      <c r="A75" s="3" t="s">
        <v>320</v>
      </c>
      <c r="B75" s="4">
        <v>169</v>
      </c>
      <c r="C75" s="4">
        <v>320</v>
      </c>
      <c r="D75" s="5">
        <v>0.47</v>
      </c>
      <c r="I75" s="4">
        <f t="shared" si="10"/>
        <v>151</v>
      </c>
      <c r="J75" s="3" t="str">
        <f t="shared" si="11"/>
        <v>Poor</v>
      </c>
      <c r="K75" s="3" t="str">
        <f t="shared" si="12"/>
        <v>High Discount</v>
      </c>
      <c r="M75" s="3" t="e">
        <f t="shared" si="13"/>
        <v>#DIV/0!</v>
      </c>
      <c r="N75" s="3" t="e">
        <f t="shared" si="14"/>
        <v>#DIV/0!</v>
      </c>
      <c r="O75" s="3">
        <v>0</v>
      </c>
    </row>
    <row r="76" spans="1:15">
      <c r="A76" s="3" t="s">
        <v>323</v>
      </c>
      <c r="B76" s="4">
        <v>2200</v>
      </c>
      <c r="C76" s="4">
        <v>4080</v>
      </c>
      <c r="D76" s="5">
        <v>0.46</v>
      </c>
      <c r="I76" s="4">
        <f t="shared" si="10"/>
        <v>1880</v>
      </c>
      <c r="J76" s="3" t="str">
        <f t="shared" si="11"/>
        <v>Poor</v>
      </c>
      <c r="K76" s="3" t="str">
        <f t="shared" si="12"/>
        <v>High Discount</v>
      </c>
      <c r="M76" s="3" t="e">
        <f t="shared" si="13"/>
        <v>#DIV/0!</v>
      </c>
      <c r="N76" s="3" t="e">
        <f t="shared" si="14"/>
        <v>#DIV/0!</v>
      </c>
      <c r="O76" s="3">
        <v>0</v>
      </c>
    </row>
    <row r="77" spans="1:15">
      <c r="A77" s="3" t="s">
        <v>235</v>
      </c>
      <c r="B77" s="4">
        <v>690</v>
      </c>
      <c r="C77" s="4">
        <v>1200</v>
      </c>
      <c r="D77" s="5">
        <v>0.43</v>
      </c>
      <c r="I77" s="4">
        <f t="shared" si="10"/>
        <v>510</v>
      </c>
      <c r="J77" s="3" t="str">
        <f t="shared" si="11"/>
        <v>Poor</v>
      </c>
      <c r="K77" s="3" t="str">
        <f t="shared" si="12"/>
        <v>High Discount</v>
      </c>
      <c r="M77" s="3" t="e">
        <f t="shared" si="13"/>
        <v>#DIV/0!</v>
      </c>
      <c r="N77" s="3" t="e">
        <f t="shared" si="14"/>
        <v>#DIV/0!</v>
      </c>
      <c r="O77" s="3">
        <v>0</v>
      </c>
    </row>
    <row r="78" spans="1:15">
      <c r="A78" s="3" t="s">
        <v>266</v>
      </c>
      <c r="B78" s="4">
        <v>630</v>
      </c>
      <c r="C78" s="4">
        <v>1100</v>
      </c>
      <c r="D78" s="5">
        <v>0.43</v>
      </c>
      <c r="I78" s="4">
        <f t="shared" si="10"/>
        <v>470</v>
      </c>
      <c r="J78" s="3" t="str">
        <f t="shared" si="11"/>
        <v>Poor</v>
      </c>
      <c r="K78" s="3" t="str">
        <f t="shared" si="12"/>
        <v>High Discount</v>
      </c>
      <c r="M78" s="3" t="e">
        <f t="shared" si="13"/>
        <v>#DIV/0!</v>
      </c>
      <c r="N78" s="3" t="e">
        <f t="shared" si="14"/>
        <v>#DIV/0!</v>
      </c>
      <c r="O78" s="3">
        <v>0</v>
      </c>
    </row>
    <row r="79" spans="1:15">
      <c r="A79" s="3" t="s">
        <v>75</v>
      </c>
      <c r="B79" s="4">
        <v>1860</v>
      </c>
      <c r="C79" s="4">
        <v>3220</v>
      </c>
      <c r="D79" s="5">
        <v>0.42</v>
      </c>
      <c r="I79" s="4">
        <f t="shared" si="10"/>
        <v>1360</v>
      </c>
      <c r="J79" s="3" t="str">
        <f t="shared" si="11"/>
        <v>Poor</v>
      </c>
      <c r="K79" s="3" t="str">
        <f t="shared" si="12"/>
        <v>High Discount</v>
      </c>
      <c r="M79" s="3" t="e">
        <f t="shared" si="13"/>
        <v>#DIV/0!</v>
      </c>
      <c r="N79" s="3" t="e">
        <f t="shared" si="14"/>
        <v>#DIV/0!</v>
      </c>
      <c r="O79" s="3">
        <v>0</v>
      </c>
    </row>
    <row r="80" spans="1:15">
      <c r="A80" s="3" t="s">
        <v>292</v>
      </c>
      <c r="B80" s="4">
        <v>1080</v>
      </c>
      <c r="C80" s="4">
        <v>1874</v>
      </c>
      <c r="D80" s="5">
        <v>0.42</v>
      </c>
      <c r="I80" s="4">
        <f t="shared" si="10"/>
        <v>794</v>
      </c>
      <c r="J80" s="3" t="str">
        <f t="shared" si="11"/>
        <v>Poor</v>
      </c>
      <c r="K80" s="3" t="str">
        <f t="shared" si="12"/>
        <v>High Discount</v>
      </c>
      <c r="M80" s="3" t="e">
        <f t="shared" si="13"/>
        <v>#DIV/0!</v>
      </c>
      <c r="N80" s="3" t="e">
        <f t="shared" si="14"/>
        <v>#DIV/0!</v>
      </c>
      <c r="O80" s="3">
        <v>0</v>
      </c>
    </row>
    <row r="81" spans="1:15">
      <c r="A81" s="3" t="s">
        <v>168</v>
      </c>
      <c r="B81" s="4">
        <v>799</v>
      </c>
      <c r="C81" s="4">
        <v>1343</v>
      </c>
      <c r="D81" s="5">
        <v>0.41</v>
      </c>
      <c r="I81" s="4">
        <f t="shared" si="10"/>
        <v>544</v>
      </c>
      <c r="J81" s="3" t="str">
        <f t="shared" si="11"/>
        <v>Poor</v>
      </c>
      <c r="K81" s="3" t="str">
        <f t="shared" si="12"/>
        <v>High Discount</v>
      </c>
      <c r="M81" s="3" t="e">
        <f t="shared" si="13"/>
        <v>#DIV/0!</v>
      </c>
      <c r="N81" s="3" t="e">
        <f t="shared" si="14"/>
        <v>#DIV/0!</v>
      </c>
      <c r="O81" s="3">
        <v>0</v>
      </c>
    </row>
    <row r="82" spans="1:15">
      <c r="A82" s="3" t="s">
        <v>298</v>
      </c>
      <c r="B82" s="4">
        <v>1420</v>
      </c>
      <c r="C82" s="4">
        <v>2420</v>
      </c>
      <c r="D82" s="5">
        <v>0.41</v>
      </c>
      <c r="I82" s="4">
        <f t="shared" si="10"/>
        <v>1000</v>
      </c>
      <c r="J82" s="3" t="str">
        <f t="shared" si="11"/>
        <v>Poor</v>
      </c>
      <c r="K82" s="3" t="str">
        <f t="shared" si="12"/>
        <v>High Discount</v>
      </c>
      <c r="M82" s="3" t="e">
        <f t="shared" si="13"/>
        <v>#DIV/0!</v>
      </c>
      <c r="N82" s="3" t="e">
        <f t="shared" si="14"/>
        <v>#DIV/0!</v>
      </c>
      <c r="O82" s="3">
        <v>0</v>
      </c>
    </row>
    <row r="83" spans="1:15">
      <c r="A83" s="3" t="s">
        <v>128</v>
      </c>
      <c r="B83" s="4">
        <v>2750</v>
      </c>
      <c r="C83" s="4">
        <v>4471</v>
      </c>
      <c r="D83" s="5">
        <v>0.38</v>
      </c>
      <c r="I83" s="4">
        <f t="shared" si="10"/>
        <v>1721</v>
      </c>
      <c r="J83" s="3" t="str">
        <f t="shared" si="11"/>
        <v>Poor</v>
      </c>
      <c r="K83" s="3" t="str">
        <f t="shared" si="12"/>
        <v>Medium Discount</v>
      </c>
      <c r="M83" s="3" t="e">
        <f t="shared" si="13"/>
        <v>#DIV/0!</v>
      </c>
      <c r="N83" s="3" t="e">
        <f t="shared" si="14"/>
        <v>#DIV/0!</v>
      </c>
      <c r="O83" s="3">
        <v>0</v>
      </c>
    </row>
    <row r="84" spans="1:15">
      <c r="A84" s="3" t="s">
        <v>151</v>
      </c>
      <c r="B84" s="4">
        <v>1200</v>
      </c>
      <c r="C84" s="4">
        <v>1950</v>
      </c>
      <c r="D84" s="5">
        <v>0.38</v>
      </c>
      <c r="I84" s="4">
        <f t="shared" si="10"/>
        <v>750</v>
      </c>
      <c r="J84" s="3" t="str">
        <f t="shared" si="11"/>
        <v>Poor</v>
      </c>
      <c r="K84" s="3" t="str">
        <f t="shared" si="12"/>
        <v>Medium Discount</v>
      </c>
      <c r="M84" s="3" t="e">
        <f t="shared" si="13"/>
        <v>#DIV/0!</v>
      </c>
      <c r="N84" s="3" t="e">
        <f t="shared" si="14"/>
        <v>#DIV/0!</v>
      </c>
      <c r="O84" s="3">
        <v>0</v>
      </c>
    </row>
    <row r="85" spans="1:15">
      <c r="A85" s="3" t="s">
        <v>248</v>
      </c>
      <c r="B85" s="4">
        <v>1460</v>
      </c>
      <c r="C85" s="4">
        <v>2290</v>
      </c>
      <c r="D85" s="5">
        <v>0.36</v>
      </c>
      <c r="I85" s="4">
        <f t="shared" si="10"/>
        <v>830</v>
      </c>
      <c r="J85" s="3" t="str">
        <f t="shared" si="11"/>
        <v>Poor</v>
      </c>
      <c r="K85" s="3" t="str">
        <f t="shared" si="12"/>
        <v>Medium Discount</v>
      </c>
      <c r="M85" s="3" t="e">
        <f t="shared" si="13"/>
        <v>#DIV/0!</v>
      </c>
      <c r="N85" s="3" t="e">
        <f t="shared" si="14"/>
        <v>#DIV/0!</v>
      </c>
      <c r="O85" s="3">
        <v>0</v>
      </c>
    </row>
    <row r="86" spans="1:15">
      <c r="A86" s="3" t="s">
        <v>307</v>
      </c>
      <c r="B86" s="4">
        <v>1150</v>
      </c>
      <c r="C86" s="4">
        <v>1737</v>
      </c>
      <c r="D86" s="5">
        <v>0.34</v>
      </c>
      <c r="I86" s="4">
        <f t="shared" si="10"/>
        <v>587</v>
      </c>
      <c r="J86" s="3" t="str">
        <f t="shared" si="11"/>
        <v>Poor</v>
      </c>
      <c r="K86" s="3" t="str">
        <f t="shared" si="12"/>
        <v>Medium Discount</v>
      </c>
      <c r="M86" s="3" t="e">
        <f t="shared" si="13"/>
        <v>#DIV/0!</v>
      </c>
      <c r="N86" s="3" t="e">
        <f t="shared" si="14"/>
        <v>#DIV/0!</v>
      </c>
      <c r="O86" s="3">
        <v>0</v>
      </c>
    </row>
    <row r="87" spans="1:15">
      <c r="A87" s="3" t="s">
        <v>310</v>
      </c>
      <c r="B87" s="4">
        <v>1190</v>
      </c>
      <c r="C87" s="4">
        <v>1810</v>
      </c>
      <c r="D87" s="5">
        <v>0.34</v>
      </c>
      <c r="I87" s="4">
        <f t="shared" si="10"/>
        <v>620</v>
      </c>
      <c r="J87" s="3" t="str">
        <f t="shared" si="11"/>
        <v>Poor</v>
      </c>
      <c r="K87" s="3" t="str">
        <f t="shared" si="12"/>
        <v>Medium Discount</v>
      </c>
      <c r="M87" s="3" t="e">
        <f t="shared" si="13"/>
        <v>#DIV/0!</v>
      </c>
      <c r="N87" s="3" t="e">
        <f t="shared" si="14"/>
        <v>#DIV/0!</v>
      </c>
      <c r="O87" s="3">
        <v>0</v>
      </c>
    </row>
    <row r="88" spans="1:15">
      <c r="A88" s="3" t="s">
        <v>145</v>
      </c>
      <c r="B88" s="4">
        <v>1190</v>
      </c>
      <c r="C88" s="4">
        <v>1785</v>
      </c>
      <c r="D88" s="5">
        <v>0.33</v>
      </c>
      <c r="I88" s="4">
        <f t="shared" si="10"/>
        <v>595</v>
      </c>
      <c r="J88" s="3" t="str">
        <f t="shared" si="11"/>
        <v>Poor</v>
      </c>
      <c r="K88" s="3" t="str">
        <f t="shared" si="12"/>
        <v>Medium Discount</v>
      </c>
      <c r="M88" s="3" t="e">
        <f t="shared" si="13"/>
        <v>#DIV/0!</v>
      </c>
      <c r="N88" s="3" t="e">
        <f t="shared" si="14"/>
        <v>#DIV/0!</v>
      </c>
      <c r="O88" s="3">
        <v>0</v>
      </c>
    </row>
    <row r="89" spans="1:15">
      <c r="A89" s="3" t="s">
        <v>177</v>
      </c>
      <c r="B89" s="4">
        <v>2799</v>
      </c>
      <c r="C89" s="4">
        <v>3810</v>
      </c>
      <c r="D89" s="5">
        <v>0.27</v>
      </c>
      <c r="I89" s="4">
        <f t="shared" si="10"/>
        <v>1011</v>
      </c>
      <c r="J89" s="3" t="str">
        <f t="shared" si="11"/>
        <v>Poor</v>
      </c>
      <c r="K89" s="3" t="str">
        <f t="shared" si="12"/>
        <v>Medium Discount</v>
      </c>
      <c r="M89" s="3" t="e">
        <f t="shared" si="13"/>
        <v>#DIV/0!</v>
      </c>
      <c r="N89" s="3" t="e">
        <f t="shared" si="14"/>
        <v>#DIV/0!</v>
      </c>
      <c r="O89" s="3">
        <v>0</v>
      </c>
    </row>
    <row r="90" spans="1:15">
      <c r="A90" s="3" t="s">
        <v>304</v>
      </c>
      <c r="B90" s="4">
        <v>198</v>
      </c>
      <c r="C90" s="4">
        <v>260</v>
      </c>
      <c r="D90" s="5">
        <v>0.24</v>
      </c>
      <c r="I90" s="4">
        <f t="shared" si="10"/>
        <v>62</v>
      </c>
      <c r="J90" s="3" t="str">
        <f t="shared" si="11"/>
        <v>Poor</v>
      </c>
      <c r="K90" s="3" t="str">
        <f t="shared" si="12"/>
        <v>Medium Discount</v>
      </c>
      <c r="M90" s="3" t="e">
        <f t="shared" si="13"/>
        <v>#DIV/0!</v>
      </c>
      <c r="N90" s="3" t="e">
        <f t="shared" si="14"/>
        <v>#DIV/0!</v>
      </c>
      <c r="O90" s="3">
        <v>0</v>
      </c>
    </row>
    <row r="91" spans="1:15">
      <c r="A91" s="3" t="s">
        <v>163</v>
      </c>
      <c r="B91" s="4">
        <v>299</v>
      </c>
      <c r="C91" s="4">
        <v>384</v>
      </c>
      <c r="D91" s="5">
        <v>0.22</v>
      </c>
      <c r="I91" s="4">
        <f t="shared" si="10"/>
        <v>85</v>
      </c>
      <c r="J91" s="3" t="str">
        <f t="shared" si="11"/>
        <v>Poor</v>
      </c>
      <c r="K91" s="3" t="str">
        <f t="shared" si="12"/>
        <v>Medium Discount</v>
      </c>
      <c r="M91" s="3" t="e">
        <f t="shared" si="13"/>
        <v>#DIV/0!</v>
      </c>
      <c r="N91" s="3" t="e">
        <f t="shared" si="14"/>
        <v>#DIV/0!</v>
      </c>
      <c r="O91" s="3">
        <v>0</v>
      </c>
    </row>
    <row r="92" spans="1:15">
      <c r="A92" s="3" t="s">
        <v>256</v>
      </c>
      <c r="B92" s="4">
        <v>1466</v>
      </c>
      <c r="C92" s="4">
        <v>1699</v>
      </c>
      <c r="D92" s="5">
        <v>0.14000000000000001</v>
      </c>
      <c r="I92" s="4">
        <f t="shared" si="10"/>
        <v>233</v>
      </c>
      <c r="J92" s="3" t="str">
        <f t="shared" si="11"/>
        <v>Poor</v>
      </c>
      <c r="K92" s="3" t="str">
        <f t="shared" si="12"/>
        <v>Low Discount</v>
      </c>
      <c r="M92" s="3" t="e">
        <f t="shared" si="13"/>
        <v>#DIV/0!</v>
      </c>
      <c r="N92" s="3" t="e">
        <f t="shared" si="14"/>
        <v>#DIV/0!</v>
      </c>
      <c r="O92" s="3">
        <v>0</v>
      </c>
    </row>
    <row r="93" spans="1:15">
      <c r="A93" s="3" t="s">
        <v>264</v>
      </c>
      <c r="B93" s="4">
        <v>1468</v>
      </c>
      <c r="C93" s="4">
        <v>1699</v>
      </c>
      <c r="D93" s="5">
        <v>0.14000000000000001</v>
      </c>
      <c r="I93" s="4">
        <f t="shared" si="10"/>
        <v>231</v>
      </c>
      <c r="J93" s="3" t="str">
        <f t="shared" si="11"/>
        <v>Poor</v>
      </c>
      <c r="K93" s="3" t="str">
        <f t="shared" si="12"/>
        <v>Low Discount</v>
      </c>
      <c r="M93" s="3" t="e">
        <f t="shared" si="13"/>
        <v>#DIV/0!</v>
      </c>
      <c r="N93" s="3" t="e">
        <f t="shared" si="14"/>
        <v>#DIV/0!</v>
      </c>
      <c r="O93" s="3">
        <v>0</v>
      </c>
    </row>
    <row r="94" spans="1:15">
      <c r="A94" s="3" t="s">
        <v>261</v>
      </c>
      <c r="B94" s="4">
        <v>799</v>
      </c>
      <c r="C94" s="4">
        <v>900</v>
      </c>
      <c r="D94" s="5">
        <v>0.11</v>
      </c>
      <c r="I94" s="4">
        <f t="shared" si="10"/>
        <v>101</v>
      </c>
      <c r="J94" s="3" t="str">
        <f t="shared" si="11"/>
        <v>Poor</v>
      </c>
      <c r="K94" s="3" t="str">
        <f t="shared" si="12"/>
        <v>Low Discount</v>
      </c>
      <c r="M94" s="3" t="e">
        <f t="shared" si="13"/>
        <v>#DIV/0!</v>
      </c>
      <c r="N94" s="3" t="e">
        <f t="shared" si="14"/>
        <v>#DIV/0!</v>
      </c>
      <c r="O94" s="3">
        <v>0</v>
      </c>
    </row>
    <row r="95" spans="1:15">
      <c r="A95" s="3" t="s">
        <v>280</v>
      </c>
      <c r="B95" s="4">
        <v>1526</v>
      </c>
      <c r="C95" s="4">
        <v>1660</v>
      </c>
      <c r="D95" s="5">
        <v>0.08</v>
      </c>
      <c r="I95" s="4">
        <f t="shared" si="10"/>
        <v>134</v>
      </c>
      <c r="J95" s="3" t="str">
        <f t="shared" si="11"/>
        <v>Poor</v>
      </c>
      <c r="K95" s="3" t="str">
        <f t="shared" si="12"/>
        <v>Low Discount</v>
      </c>
      <c r="M95" s="3" t="e">
        <f t="shared" si="13"/>
        <v>#DIV/0!</v>
      </c>
      <c r="N95" s="3" t="e">
        <f t="shared" si="14"/>
        <v>#DIV/0!</v>
      </c>
      <c r="O95" s="3">
        <v>0</v>
      </c>
    </row>
    <row r="96" spans="1:15">
      <c r="A96" s="3" t="s">
        <v>237</v>
      </c>
      <c r="B96" s="4">
        <v>1732</v>
      </c>
      <c r="C96" s="4">
        <v>1799</v>
      </c>
      <c r="D96" s="5">
        <v>0.04</v>
      </c>
      <c r="I96" s="4">
        <f t="shared" si="10"/>
        <v>67</v>
      </c>
      <c r="J96" s="3" t="str">
        <f t="shared" si="11"/>
        <v>Poor</v>
      </c>
      <c r="K96" s="3" t="str">
        <f t="shared" si="12"/>
        <v>Low Discount</v>
      </c>
      <c r="M96" s="3" t="e">
        <f t="shared" si="13"/>
        <v>#DIV/0!</v>
      </c>
      <c r="N96" s="3" t="e">
        <f t="shared" si="14"/>
        <v>#DIV/0!</v>
      </c>
      <c r="O96" s="3">
        <v>0</v>
      </c>
    </row>
    <row r="97" spans="1:15">
      <c r="A97" s="3" t="s">
        <v>287</v>
      </c>
      <c r="B97" s="4">
        <v>3546</v>
      </c>
      <c r="C97" s="4">
        <v>3699</v>
      </c>
      <c r="D97" s="5">
        <v>0.04</v>
      </c>
      <c r="I97" s="4">
        <f t="shared" si="10"/>
        <v>153</v>
      </c>
      <c r="J97" s="3" t="str">
        <f t="shared" si="11"/>
        <v>Poor</v>
      </c>
      <c r="K97" s="3" t="str">
        <f t="shared" si="12"/>
        <v>Low Discount</v>
      </c>
      <c r="M97" s="3" t="e">
        <f t="shared" si="13"/>
        <v>#DIV/0!</v>
      </c>
      <c r="N97" s="3" t="e">
        <f t="shared" si="14"/>
        <v>#DIV/0!</v>
      </c>
      <c r="O97" s="3">
        <v>0</v>
      </c>
    </row>
    <row r="98" spans="1:15">
      <c r="A98" s="3" t="s">
        <v>165</v>
      </c>
      <c r="B98" s="4">
        <v>1459</v>
      </c>
      <c r="C98" s="4">
        <v>1499</v>
      </c>
      <c r="D98" s="5">
        <v>0.03</v>
      </c>
      <c r="I98" s="4">
        <f t="shared" ref="I98:I105" si="15">C98-B98</f>
        <v>40</v>
      </c>
      <c r="J98" s="3" t="str">
        <f t="shared" ref="J98:J105" si="16">IF(F98&lt;3,"Poor",IF(F98&lt;4.5,"Average","Excellent"))</f>
        <v>Poor</v>
      </c>
      <c r="K98" s="3" t="str">
        <f t="shared" ref="K98:K105" si="17">IF(D98&lt;20%,"Low Discount",IF(D98&lt;=40%,"Medium Discount","High Discount"))</f>
        <v>Low Discount</v>
      </c>
      <c r="M98" s="3" t="e">
        <f t="shared" ref="M98:M105" si="18">CORREL(D98:D201,E98:E201)</f>
        <v>#DIV/0!</v>
      </c>
      <c r="N98" s="3" t="e">
        <f t="shared" ref="N98:N105" si="19">CORREL(F98:F201,E98:E201)</f>
        <v>#DIV/0!</v>
      </c>
      <c r="O98" s="3">
        <v>0</v>
      </c>
    </row>
    <row r="99" spans="1:15">
      <c r="A99" s="3" t="s">
        <v>140</v>
      </c>
      <c r="B99" s="4">
        <v>2132</v>
      </c>
      <c r="C99" s="4">
        <v>2169</v>
      </c>
      <c r="D99" s="5">
        <v>0.02</v>
      </c>
      <c r="H99" s="3">
        <f>(2200+3200)/2</f>
        <v>2700</v>
      </c>
      <c r="I99" s="4">
        <f t="shared" si="15"/>
        <v>37</v>
      </c>
      <c r="J99" s="3" t="str">
        <f t="shared" si="16"/>
        <v>Poor</v>
      </c>
      <c r="K99" s="3" t="str">
        <f t="shared" si="17"/>
        <v>Low Discount</v>
      </c>
      <c r="M99" s="3" t="e">
        <f t="shared" si="18"/>
        <v>#DIV/0!</v>
      </c>
      <c r="N99" s="3" t="e">
        <f t="shared" si="19"/>
        <v>#DIV/0!</v>
      </c>
      <c r="O99" s="3">
        <v>0</v>
      </c>
    </row>
    <row r="100" spans="1:15">
      <c r="A100" s="3" t="s">
        <v>160</v>
      </c>
      <c r="B100" s="4">
        <v>1660</v>
      </c>
      <c r="C100" s="4">
        <v>1699</v>
      </c>
      <c r="D100" s="5">
        <v>0.02</v>
      </c>
      <c r="I100" s="4">
        <f t="shared" si="15"/>
        <v>39</v>
      </c>
      <c r="J100" s="3" t="str">
        <f t="shared" si="16"/>
        <v>Poor</v>
      </c>
      <c r="K100" s="3" t="str">
        <f t="shared" si="17"/>
        <v>Low Discount</v>
      </c>
      <c r="M100" s="3" t="e">
        <f t="shared" si="18"/>
        <v>#DIV/0!</v>
      </c>
      <c r="N100" s="3" t="e">
        <f t="shared" si="19"/>
        <v>#DIV/0!</v>
      </c>
      <c r="O100" s="3">
        <v>0</v>
      </c>
    </row>
    <row r="101" spans="1:15">
      <c r="A101" s="3" t="s">
        <v>251</v>
      </c>
      <c r="B101" s="4">
        <v>1666</v>
      </c>
      <c r="C101" s="4">
        <v>1699</v>
      </c>
      <c r="D101" s="5">
        <v>0.02</v>
      </c>
      <c r="I101" s="4">
        <f t="shared" si="15"/>
        <v>33</v>
      </c>
      <c r="J101" s="3" t="str">
        <f t="shared" si="16"/>
        <v>Poor</v>
      </c>
      <c r="K101" s="3" t="str">
        <f t="shared" si="17"/>
        <v>Low Discount</v>
      </c>
      <c r="M101" s="3" t="e">
        <f t="shared" si="18"/>
        <v>#DIV/0!</v>
      </c>
      <c r="N101" s="3" t="e">
        <f t="shared" si="19"/>
        <v>#DIV/0!</v>
      </c>
      <c r="O101" s="3">
        <v>0</v>
      </c>
    </row>
    <row r="102" spans="1:15">
      <c r="A102" s="3" t="s">
        <v>282</v>
      </c>
      <c r="B102" s="4">
        <v>1462</v>
      </c>
      <c r="C102" s="4">
        <v>1499</v>
      </c>
      <c r="D102" s="5">
        <v>0.02</v>
      </c>
      <c r="I102" s="4">
        <f t="shared" si="15"/>
        <v>37</v>
      </c>
      <c r="J102" s="3" t="str">
        <f t="shared" si="16"/>
        <v>Poor</v>
      </c>
      <c r="K102" s="3" t="str">
        <f t="shared" si="17"/>
        <v>Low Discount</v>
      </c>
      <c r="M102" s="3" t="e">
        <f t="shared" si="18"/>
        <v>#DIV/0!</v>
      </c>
      <c r="N102" s="3" t="e">
        <f t="shared" si="19"/>
        <v>#DIV/0!</v>
      </c>
      <c r="O102" s="3">
        <v>0</v>
      </c>
    </row>
    <row r="103" spans="1:15">
      <c r="A103" s="3" t="s">
        <v>312</v>
      </c>
      <c r="B103" s="4">
        <v>1658</v>
      </c>
      <c r="C103" s="4">
        <v>1699</v>
      </c>
      <c r="D103" s="5">
        <v>0.02</v>
      </c>
      <c r="I103" s="4">
        <f t="shared" si="15"/>
        <v>41</v>
      </c>
      <c r="J103" s="3" t="str">
        <f t="shared" si="16"/>
        <v>Poor</v>
      </c>
      <c r="K103" s="3" t="str">
        <f t="shared" si="17"/>
        <v>Low Discount</v>
      </c>
      <c r="M103" s="3" t="e">
        <f t="shared" si="18"/>
        <v>#DIV/0!</v>
      </c>
      <c r="N103" s="3" t="e">
        <f t="shared" si="19"/>
        <v>#DIV/0!</v>
      </c>
      <c r="O103" s="3">
        <v>0</v>
      </c>
    </row>
    <row r="104" spans="1:15">
      <c r="A104" s="3" t="s">
        <v>314</v>
      </c>
      <c r="B104" s="4">
        <v>1768</v>
      </c>
      <c r="C104" s="4">
        <v>1799</v>
      </c>
      <c r="D104" s="5">
        <v>0.02</v>
      </c>
      <c r="I104" s="4">
        <f t="shared" si="15"/>
        <v>31</v>
      </c>
      <c r="J104" s="3" t="str">
        <f t="shared" si="16"/>
        <v>Poor</v>
      </c>
      <c r="K104" s="3" t="str">
        <f t="shared" si="17"/>
        <v>Low Discount</v>
      </c>
      <c r="M104" s="3" t="e">
        <f t="shared" si="18"/>
        <v>#DIV/0!</v>
      </c>
      <c r="N104" s="3" t="e">
        <f t="shared" si="19"/>
        <v>#DIV/0!</v>
      </c>
      <c r="O104" s="3">
        <v>0</v>
      </c>
    </row>
    <row r="105" spans="1:15">
      <c r="A105" s="3" t="s">
        <v>301</v>
      </c>
      <c r="B105" s="4">
        <v>1875</v>
      </c>
      <c r="C105" s="4">
        <v>1899</v>
      </c>
      <c r="D105" s="5">
        <v>0.01</v>
      </c>
      <c r="I105" s="4">
        <f t="shared" si="15"/>
        <v>24</v>
      </c>
      <c r="J105" s="3" t="str">
        <f t="shared" si="16"/>
        <v>Poor</v>
      </c>
      <c r="K105" s="3" t="str">
        <f t="shared" si="17"/>
        <v>Low Discount</v>
      </c>
      <c r="M105" s="3" t="e">
        <f t="shared" si="18"/>
        <v>#DIV/0!</v>
      </c>
      <c r="N105" s="3" t="e">
        <f t="shared" si="19"/>
        <v>#DIV/0!</v>
      </c>
      <c r="O105" s="3">
        <v>0</v>
      </c>
    </row>
    <row r="106" spans="1:15">
      <c r="D106" s="17">
        <f>AVERAGE(D2:D105)</f>
        <v>0.35788461538461547</v>
      </c>
      <c r="O106" s="7">
        <f>SUM(_xlfn.ANCHORARRAY(O2))</f>
        <v>723</v>
      </c>
    </row>
  </sheetData>
  <sortState xmlns:xlrd2="http://schemas.microsoft.com/office/spreadsheetml/2017/richdata2" ref="A1:O105">
    <sortCondition descending="1" ref="E1:E105"/>
  </sortState>
  <conditionalFormatting sqref="A1:A1048576">
    <cfRule type="duplicateValues" dxfId="48"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1695-8AF1-4D4A-94B3-4525BC6B7D9A}">
  <dimension ref="A4:E8"/>
  <sheetViews>
    <sheetView topLeftCell="C1" workbookViewId="0">
      <selection activeCell="C4" sqref="C4"/>
    </sheetView>
  </sheetViews>
  <sheetFormatPr defaultRowHeight="15"/>
  <cols>
    <col min="1" max="1" width="16.42578125" bestFit="1" customWidth="1"/>
    <col min="2" max="2" width="16.85546875" bestFit="1" customWidth="1"/>
    <col min="3" max="3" width="13.28515625" bestFit="1" customWidth="1"/>
    <col min="4" max="4" width="17" bestFit="1" customWidth="1"/>
    <col min="5" max="5" width="11.28515625" bestFit="1" customWidth="1"/>
    <col min="6" max="6" width="10.42578125" bestFit="1" customWidth="1"/>
  </cols>
  <sheetData>
    <row r="4" spans="1:5">
      <c r="A4" s="18" t="s">
        <v>352</v>
      </c>
      <c r="B4" s="18" t="s">
        <v>348</v>
      </c>
      <c r="C4" s="3"/>
      <c r="D4" s="3"/>
      <c r="E4" s="3"/>
    </row>
    <row r="5" spans="1:5">
      <c r="A5" s="18" t="s">
        <v>340</v>
      </c>
      <c r="B5" s="3" t="s">
        <v>350</v>
      </c>
      <c r="C5" s="3" t="s">
        <v>351</v>
      </c>
      <c r="D5" s="3" t="s">
        <v>349</v>
      </c>
      <c r="E5" s="3" t="s">
        <v>341</v>
      </c>
    </row>
    <row r="6" spans="1:5">
      <c r="A6" s="19" t="s">
        <v>346</v>
      </c>
      <c r="B6" s="21">
        <v>1</v>
      </c>
      <c r="C6" s="21"/>
      <c r="D6" s="21"/>
      <c r="E6" s="21">
        <v>1</v>
      </c>
    </row>
    <row r="7" spans="1:5">
      <c r="A7" s="19" t="s">
        <v>347</v>
      </c>
      <c r="B7" s="21">
        <v>23</v>
      </c>
      <c r="C7" s="21">
        <v>14</v>
      </c>
      <c r="D7" s="21">
        <v>9</v>
      </c>
      <c r="E7" s="21">
        <v>46</v>
      </c>
    </row>
    <row r="8" spans="1:5">
      <c r="A8" s="19" t="s">
        <v>341</v>
      </c>
      <c r="B8" s="21">
        <v>24</v>
      </c>
      <c r="C8" s="21">
        <v>14</v>
      </c>
      <c r="D8" s="21">
        <v>9</v>
      </c>
      <c r="E8" s="21">
        <v>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9CF6-E50D-413C-8D6D-D8A11D67E9B8}">
  <dimension ref="A3:D51"/>
  <sheetViews>
    <sheetView zoomScale="89" workbookViewId="0">
      <selection activeCell="A20" sqref="A20"/>
    </sheetView>
  </sheetViews>
  <sheetFormatPr defaultRowHeight="15"/>
  <cols>
    <col min="1" max="1" width="95" bestFit="1" customWidth="1"/>
    <col min="2" max="2" width="14.5703125" bestFit="1" customWidth="1"/>
    <col min="3" max="3" width="16" bestFit="1" customWidth="1"/>
    <col min="4" max="4" width="15.85546875" bestFit="1" customWidth="1"/>
    <col min="5" max="5" width="14.42578125" bestFit="1" customWidth="1"/>
  </cols>
  <sheetData>
    <row r="3" spans="1:4">
      <c r="A3" s="18" t="s">
        <v>345</v>
      </c>
      <c r="B3" s="3" t="s">
        <v>342</v>
      </c>
      <c r="C3" s="3" t="s">
        <v>343</v>
      </c>
      <c r="D3" s="3" t="s">
        <v>344</v>
      </c>
    </row>
    <row r="4" spans="1:4">
      <c r="A4" s="19" t="s">
        <v>177</v>
      </c>
      <c r="B4" s="21"/>
      <c r="C4" s="21">
        <v>0.27</v>
      </c>
      <c r="D4" s="21">
        <v>0</v>
      </c>
    </row>
    <row r="5" spans="1:4">
      <c r="A5" s="19" t="s">
        <v>304</v>
      </c>
      <c r="B5" s="21"/>
      <c r="C5" s="21">
        <v>0.24</v>
      </c>
      <c r="D5" s="21">
        <v>0</v>
      </c>
    </row>
    <row r="6" spans="1:4">
      <c r="A6" s="19" t="s">
        <v>251</v>
      </c>
      <c r="B6" s="21"/>
      <c r="C6" s="21">
        <v>0.02</v>
      </c>
      <c r="D6" s="21">
        <v>0</v>
      </c>
    </row>
    <row r="7" spans="1:4">
      <c r="A7" s="19" t="s">
        <v>301</v>
      </c>
      <c r="B7" s="21"/>
      <c r="C7" s="21">
        <v>0.01</v>
      </c>
      <c r="D7" s="21">
        <v>0</v>
      </c>
    </row>
    <row r="8" spans="1:4">
      <c r="A8" s="19" t="s">
        <v>278</v>
      </c>
      <c r="B8" s="21"/>
      <c r="C8" s="21">
        <v>0.5</v>
      </c>
      <c r="D8" s="21">
        <v>0</v>
      </c>
    </row>
    <row r="9" spans="1:4">
      <c r="A9" s="19" t="s">
        <v>151</v>
      </c>
      <c r="B9" s="21"/>
      <c r="C9" s="21">
        <v>0.38</v>
      </c>
      <c r="D9" s="21">
        <v>0</v>
      </c>
    </row>
    <row r="10" spans="1:4">
      <c r="A10" s="19" t="s">
        <v>232</v>
      </c>
      <c r="B10" s="21"/>
      <c r="C10" s="21">
        <v>0.47</v>
      </c>
      <c r="D10" s="21">
        <v>0</v>
      </c>
    </row>
    <row r="11" spans="1:4">
      <c r="A11" s="19" t="s">
        <v>235</v>
      </c>
      <c r="B11" s="21"/>
      <c r="C11" s="21">
        <v>0.43</v>
      </c>
      <c r="D11" s="21">
        <v>0</v>
      </c>
    </row>
    <row r="12" spans="1:4">
      <c r="A12" s="19" t="s">
        <v>284</v>
      </c>
      <c r="B12" s="21"/>
      <c r="C12" s="21">
        <v>0.49</v>
      </c>
      <c r="D12" s="21">
        <v>0</v>
      </c>
    </row>
    <row r="13" spans="1:4">
      <c r="A13" s="19" t="s">
        <v>131</v>
      </c>
      <c r="B13" s="21"/>
      <c r="C13" s="21">
        <v>0.49</v>
      </c>
      <c r="D13" s="21">
        <v>0</v>
      </c>
    </row>
    <row r="14" spans="1:4">
      <c r="A14" s="19" t="s">
        <v>75</v>
      </c>
      <c r="B14" s="21"/>
      <c r="C14" s="21">
        <v>0.42</v>
      </c>
      <c r="D14" s="21">
        <v>0</v>
      </c>
    </row>
    <row r="15" spans="1:4">
      <c r="A15" s="19" t="s">
        <v>248</v>
      </c>
      <c r="B15" s="21"/>
      <c r="C15" s="21">
        <v>0.36</v>
      </c>
      <c r="D15" s="21">
        <v>0</v>
      </c>
    </row>
    <row r="16" spans="1:4">
      <c r="A16" s="19" t="s">
        <v>316</v>
      </c>
      <c r="B16" s="21">
        <v>3.8894736842105258</v>
      </c>
      <c r="C16" s="21">
        <v>0.64</v>
      </c>
      <c r="D16" s="21">
        <v>0</v>
      </c>
    </row>
    <row r="17" spans="1:4">
      <c r="A17" s="19" t="s">
        <v>145</v>
      </c>
      <c r="B17" s="21"/>
      <c r="C17" s="21">
        <v>0.33</v>
      </c>
      <c r="D17" s="21">
        <v>0</v>
      </c>
    </row>
    <row r="18" spans="1:4">
      <c r="A18" s="19" t="s">
        <v>240</v>
      </c>
      <c r="B18" s="21"/>
      <c r="C18" s="21">
        <v>0.49</v>
      </c>
      <c r="D18" s="21">
        <v>0</v>
      </c>
    </row>
    <row r="19" spans="1:4">
      <c r="A19" s="19" t="s">
        <v>292</v>
      </c>
      <c r="B19" s="21"/>
      <c r="C19" s="21">
        <v>0.42</v>
      </c>
      <c r="D19" s="21">
        <v>0</v>
      </c>
    </row>
    <row r="20" spans="1:4">
      <c r="A20" s="19" t="s">
        <v>298</v>
      </c>
      <c r="B20" s="21"/>
      <c r="C20" s="21">
        <v>0.41</v>
      </c>
      <c r="D20" s="21">
        <v>0</v>
      </c>
    </row>
    <row r="21" spans="1:4">
      <c r="A21" s="19" t="s">
        <v>289</v>
      </c>
      <c r="B21" s="21"/>
      <c r="C21" s="21">
        <v>0.49</v>
      </c>
      <c r="D21" s="21">
        <v>0</v>
      </c>
    </row>
    <row r="22" spans="1:4">
      <c r="A22" s="19" t="s">
        <v>320</v>
      </c>
      <c r="B22" s="21"/>
      <c r="C22" s="21">
        <v>0.47</v>
      </c>
      <c r="D22" s="21">
        <v>0</v>
      </c>
    </row>
    <row r="23" spans="1:4">
      <c r="A23" s="19" t="s">
        <v>157</v>
      </c>
      <c r="B23" s="21"/>
      <c r="C23" s="21">
        <v>0.5</v>
      </c>
      <c r="D23" s="21">
        <v>0</v>
      </c>
    </row>
    <row r="24" spans="1:4">
      <c r="A24" s="19" t="s">
        <v>148</v>
      </c>
      <c r="B24" s="21"/>
      <c r="C24" s="21">
        <v>0.49</v>
      </c>
      <c r="D24" s="21">
        <v>0</v>
      </c>
    </row>
    <row r="25" spans="1:4">
      <c r="A25" s="19" t="s">
        <v>258</v>
      </c>
      <c r="B25" s="21"/>
      <c r="C25" s="21">
        <v>0.49</v>
      </c>
      <c r="D25" s="21">
        <v>0</v>
      </c>
    </row>
    <row r="26" spans="1:4">
      <c r="A26" s="19" t="s">
        <v>310</v>
      </c>
      <c r="B26" s="21"/>
      <c r="C26" s="21">
        <v>0.34</v>
      </c>
      <c r="D26" s="21">
        <v>0</v>
      </c>
    </row>
    <row r="27" spans="1:4">
      <c r="A27" s="19" t="s">
        <v>143</v>
      </c>
      <c r="B27" s="21"/>
      <c r="C27" s="21">
        <v>0.5</v>
      </c>
      <c r="D27" s="21">
        <v>0</v>
      </c>
    </row>
    <row r="28" spans="1:4">
      <c r="A28" s="19" t="s">
        <v>173</v>
      </c>
      <c r="B28" s="21"/>
      <c r="C28" s="21">
        <v>0.48</v>
      </c>
      <c r="D28" s="21">
        <v>0</v>
      </c>
    </row>
    <row r="29" spans="1:4">
      <c r="A29" s="19" t="s">
        <v>237</v>
      </c>
      <c r="B29" s="21"/>
      <c r="C29" s="21">
        <v>0.04</v>
      </c>
      <c r="D29" s="21">
        <v>0</v>
      </c>
    </row>
    <row r="30" spans="1:4">
      <c r="A30" s="19" t="s">
        <v>168</v>
      </c>
      <c r="B30" s="21"/>
      <c r="C30" s="21">
        <v>0.41</v>
      </c>
      <c r="D30" s="21">
        <v>0</v>
      </c>
    </row>
    <row r="31" spans="1:4">
      <c r="A31" s="19" t="s">
        <v>128</v>
      </c>
      <c r="B31" s="21"/>
      <c r="C31" s="21">
        <v>0.38</v>
      </c>
      <c r="D31" s="21">
        <v>0</v>
      </c>
    </row>
    <row r="32" spans="1:4">
      <c r="A32" s="19" t="s">
        <v>307</v>
      </c>
      <c r="B32" s="21"/>
      <c r="C32" s="21">
        <v>0.34</v>
      </c>
      <c r="D32" s="21">
        <v>0</v>
      </c>
    </row>
    <row r="33" spans="1:4">
      <c r="A33" s="19" t="s">
        <v>287</v>
      </c>
      <c r="B33" s="21"/>
      <c r="C33" s="21">
        <v>0.04</v>
      </c>
      <c r="D33" s="21">
        <v>0</v>
      </c>
    </row>
    <row r="34" spans="1:4">
      <c r="A34" s="19" t="s">
        <v>134</v>
      </c>
      <c r="B34" s="21"/>
      <c r="C34" s="21">
        <v>0.5</v>
      </c>
      <c r="D34" s="21">
        <v>0</v>
      </c>
    </row>
    <row r="35" spans="1:4">
      <c r="A35" s="19" t="s">
        <v>266</v>
      </c>
      <c r="B35" s="21"/>
      <c r="C35" s="21">
        <v>0.43</v>
      </c>
      <c r="D35" s="21">
        <v>0</v>
      </c>
    </row>
    <row r="36" spans="1:4">
      <c r="A36" s="19" t="s">
        <v>323</v>
      </c>
      <c r="B36" s="21"/>
      <c r="C36" s="21">
        <v>0.46</v>
      </c>
      <c r="D36" s="21">
        <v>0</v>
      </c>
    </row>
    <row r="37" spans="1:4">
      <c r="A37" s="19" t="s">
        <v>165</v>
      </c>
      <c r="B37" s="21"/>
      <c r="C37" s="21">
        <v>0.03</v>
      </c>
      <c r="D37" s="21">
        <v>0</v>
      </c>
    </row>
    <row r="38" spans="1:4">
      <c r="A38" s="19" t="s">
        <v>256</v>
      </c>
      <c r="B38" s="21"/>
      <c r="C38" s="21">
        <v>0.14000000000000001</v>
      </c>
      <c r="D38" s="21">
        <v>0</v>
      </c>
    </row>
    <row r="39" spans="1:4">
      <c r="A39" s="19" t="s">
        <v>261</v>
      </c>
      <c r="B39" s="21"/>
      <c r="C39" s="21">
        <v>0.11</v>
      </c>
      <c r="D39" s="21">
        <v>0</v>
      </c>
    </row>
    <row r="40" spans="1:4">
      <c r="A40" s="19" t="s">
        <v>160</v>
      </c>
      <c r="B40" s="21"/>
      <c r="C40" s="21">
        <v>0.02</v>
      </c>
      <c r="D40" s="21">
        <v>0</v>
      </c>
    </row>
    <row r="41" spans="1:4">
      <c r="A41" s="19" t="s">
        <v>163</v>
      </c>
      <c r="B41" s="21"/>
      <c r="C41" s="21">
        <v>0.22</v>
      </c>
      <c r="D41" s="21">
        <v>0</v>
      </c>
    </row>
    <row r="42" spans="1:4">
      <c r="A42" s="19" t="s">
        <v>282</v>
      </c>
      <c r="B42" s="21"/>
      <c r="C42" s="21">
        <v>0.02</v>
      </c>
      <c r="D42" s="21">
        <v>0</v>
      </c>
    </row>
    <row r="43" spans="1:4">
      <c r="A43" s="19" t="s">
        <v>272</v>
      </c>
      <c r="B43" s="21"/>
      <c r="C43" s="21">
        <v>0.48</v>
      </c>
      <c r="D43" s="21">
        <v>0</v>
      </c>
    </row>
    <row r="44" spans="1:4">
      <c r="A44" s="19" t="s">
        <v>274</v>
      </c>
      <c r="B44" s="21"/>
      <c r="C44" s="21">
        <v>0.48</v>
      </c>
      <c r="D44" s="21">
        <v>0</v>
      </c>
    </row>
    <row r="45" spans="1:4">
      <c r="A45" s="19" t="s">
        <v>140</v>
      </c>
      <c r="B45" s="21"/>
      <c r="C45" s="21">
        <v>0.02</v>
      </c>
      <c r="D45" s="21">
        <v>0</v>
      </c>
    </row>
    <row r="46" spans="1:4">
      <c r="A46" s="19" t="s">
        <v>312</v>
      </c>
      <c r="B46" s="21"/>
      <c r="C46" s="21">
        <v>0.02</v>
      </c>
      <c r="D46" s="21">
        <v>0</v>
      </c>
    </row>
    <row r="47" spans="1:4">
      <c r="A47" s="19" t="s">
        <v>314</v>
      </c>
      <c r="B47" s="21"/>
      <c r="C47" s="21">
        <v>0.02</v>
      </c>
      <c r="D47" s="21">
        <v>0</v>
      </c>
    </row>
    <row r="48" spans="1:4">
      <c r="A48" s="19" t="s">
        <v>269</v>
      </c>
      <c r="B48" s="21"/>
      <c r="C48" s="21">
        <v>0.5</v>
      </c>
      <c r="D48" s="21">
        <v>0</v>
      </c>
    </row>
    <row r="49" spans="1:4">
      <c r="A49" s="19" t="s">
        <v>280</v>
      </c>
      <c r="B49" s="21"/>
      <c r="C49" s="21">
        <v>0.08</v>
      </c>
      <c r="D49" s="21">
        <v>0</v>
      </c>
    </row>
    <row r="50" spans="1:4">
      <c r="A50" s="19" t="s">
        <v>264</v>
      </c>
      <c r="B50" s="21"/>
      <c r="C50" s="21">
        <v>0.14000000000000001</v>
      </c>
      <c r="D50" s="21">
        <v>0</v>
      </c>
    </row>
    <row r="51" spans="1:4">
      <c r="A51" s="19" t="s">
        <v>341</v>
      </c>
      <c r="B51" s="21">
        <v>3.8894736842105258</v>
      </c>
      <c r="C51" s="21">
        <v>15.01</v>
      </c>
      <c r="D51" s="2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8DC2E-EFFC-4575-A615-59262FEA6F3A}">
  <dimension ref="A3:C51"/>
  <sheetViews>
    <sheetView workbookViewId="0">
      <selection activeCell="E3" sqref="E3"/>
    </sheetView>
  </sheetViews>
  <sheetFormatPr defaultRowHeight="15"/>
  <cols>
    <col min="1" max="1" width="95" bestFit="1" customWidth="1"/>
    <col min="2" max="2" width="16" bestFit="1" customWidth="1"/>
    <col min="3" max="3" width="15.85546875" bestFit="1" customWidth="1"/>
  </cols>
  <sheetData>
    <row r="3" spans="1:3">
      <c r="A3" s="18" t="s">
        <v>0</v>
      </c>
      <c r="B3" s="3" t="s">
        <v>343</v>
      </c>
      <c r="C3" s="3" t="s">
        <v>344</v>
      </c>
    </row>
    <row r="4" spans="1:3">
      <c r="A4" s="19" t="s">
        <v>177</v>
      </c>
      <c r="B4" s="21">
        <v>0.27</v>
      </c>
      <c r="C4" s="21">
        <v>0</v>
      </c>
    </row>
    <row r="5" spans="1:3">
      <c r="A5" s="19" t="s">
        <v>304</v>
      </c>
      <c r="B5" s="21">
        <v>0.24</v>
      </c>
      <c r="C5" s="21">
        <v>0</v>
      </c>
    </row>
    <row r="6" spans="1:3">
      <c r="A6" s="19" t="s">
        <v>251</v>
      </c>
      <c r="B6" s="21">
        <v>0.02</v>
      </c>
      <c r="C6" s="21">
        <v>0</v>
      </c>
    </row>
    <row r="7" spans="1:3">
      <c r="A7" s="19" t="s">
        <v>301</v>
      </c>
      <c r="B7" s="21">
        <v>0.01</v>
      </c>
      <c r="C7" s="21">
        <v>0</v>
      </c>
    </row>
    <row r="8" spans="1:3">
      <c r="A8" s="19" t="s">
        <v>278</v>
      </c>
      <c r="B8" s="21">
        <v>0.5</v>
      </c>
      <c r="C8" s="21">
        <v>0</v>
      </c>
    </row>
    <row r="9" spans="1:3">
      <c r="A9" s="19" t="s">
        <v>151</v>
      </c>
      <c r="B9" s="21">
        <v>0.38</v>
      </c>
      <c r="C9" s="21">
        <v>0</v>
      </c>
    </row>
    <row r="10" spans="1:3">
      <c r="A10" s="19" t="s">
        <v>232</v>
      </c>
      <c r="B10" s="21">
        <v>0.47</v>
      </c>
      <c r="C10" s="21">
        <v>0</v>
      </c>
    </row>
    <row r="11" spans="1:3">
      <c r="A11" s="19" t="s">
        <v>235</v>
      </c>
      <c r="B11" s="21">
        <v>0.43</v>
      </c>
      <c r="C11" s="21">
        <v>0</v>
      </c>
    </row>
    <row r="12" spans="1:3">
      <c r="A12" s="19" t="s">
        <v>284</v>
      </c>
      <c r="B12" s="21">
        <v>0.49</v>
      </c>
      <c r="C12" s="21">
        <v>0</v>
      </c>
    </row>
    <row r="13" spans="1:3">
      <c r="A13" s="19" t="s">
        <v>131</v>
      </c>
      <c r="B13" s="21">
        <v>0.49</v>
      </c>
      <c r="C13" s="21">
        <v>0</v>
      </c>
    </row>
    <row r="14" spans="1:3">
      <c r="A14" s="19" t="s">
        <v>75</v>
      </c>
      <c r="B14" s="21">
        <v>0.42</v>
      </c>
      <c r="C14" s="21">
        <v>0</v>
      </c>
    </row>
    <row r="15" spans="1:3">
      <c r="A15" s="19" t="s">
        <v>248</v>
      </c>
      <c r="B15" s="21">
        <v>0.36</v>
      </c>
      <c r="C15" s="21">
        <v>0</v>
      </c>
    </row>
    <row r="16" spans="1:3">
      <c r="A16" s="19" t="s">
        <v>316</v>
      </c>
      <c r="B16" s="21">
        <v>0.64</v>
      </c>
      <c r="C16" s="21">
        <v>0</v>
      </c>
    </row>
    <row r="17" spans="1:3">
      <c r="A17" s="19" t="s">
        <v>145</v>
      </c>
      <c r="B17" s="21">
        <v>0.33</v>
      </c>
      <c r="C17" s="21">
        <v>0</v>
      </c>
    </row>
    <row r="18" spans="1:3">
      <c r="A18" s="19" t="s">
        <v>240</v>
      </c>
      <c r="B18" s="21">
        <v>0.49</v>
      </c>
      <c r="C18" s="21">
        <v>0</v>
      </c>
    </row>
    <row r="19" spans="1:3">
      <c r="A19" s="19" t="s">
        <v>292</v>
      </c>
      <c r="B19" s="21">
        <v>0.42</v>
      </c>
      <c r="C19" s="21">
        <v>0</v>
      </c>
    </row>
    <row r="20" spans="1:3">
      <c r="A20" s="19" t="s">
        <v>298</v>
      </c>
      <c r="B20" s="21">
        <v>0.41</v>
      </c>
      <c r="C20" s="21">
        <v>0</v>
      </c>
    </row>
    <row r="21" spans="1:3">
      <c r="A21" s="19" t="s">
        <v>289</v>
      </c>
      <c r="B21" s="21">
        <v>0.49</v>
      </c>
      <c r="C21" s="21">
        <v>0</v>
      </c>
    </row>
    <row r="22" spans="1:3">
      <c r="A22" s="19" t="s">
        <v>320</v>
      </c>
      <c r="B22" s="21">
        <v>0.47</v>
      </c>
      <c r="C22" s="21">
        <v>0</v>
      </c>
    </row>
    <row r="23" spans="1:3">
      <c r="A23" s="19" t="s">
        <v>157</v>
      </c>
      <c r="B23" s="21">
        <v>0.5</v>
      </c>
      <c r="C23" s="21">
        <v>0</v>
      </c>
    </row>
    <row r="24" spans="1:3">
      <c r="A24" s="19" t="s">
        <v>148</v>
      </c>
      <c r="B24" s="21">
        <v>0.49</v>
      </c>
      <c r="C24" s="21">
        <v>0</v>
      </c>
    </row>
    <row r="25" spans="1:3">
      <c r="A25" s="19" t="s">
        <v>258</v>
      </c>
      <c r="B25" s="21">
        <v>0.49</v>
      </c>
      <c r="C25" s="21">
        <v>0</v>
      </c>
    </row>
    <row r="26" spans="1:3">
      <c r="A26" s="19" t="s">
        <v>310</v>
      </c>
      <c r="B26" s="21">
        <v>0.34</v>
      </c>
      <c r="C26" s="21">
        <v>0</v>
      </c>
    </row>
    <row r="27" spans="1:3">
      <c r="A27" s="19" t="s">
        <v>143</v>
      </c>
      <c r="B27" s="21">
        <v>0.5</v>
      </c>
      <c r="C27" s="21">
        <v>0</v>
      </c>
    </row>
    <row r="28" spans="1:3">
      <c r="A28" s="19" t="s">
        <v>173</v>
      </c>
      <c r="B28" s="21">
        <v>0.48</v>
      </c>
      <c r="C28" s="21">
        <v>0</v>
      </c>
    </row>
    <row r="29" spans="1:3">
      <c r="A29" s="19" t="s">
        <v>237</v>
      </c>
      <c r="B29" s="21">
        <v>0.04</v>
      </c>
      <c r="C29" s="21">
        <v>0</v>
      </c>
    </row>
    <row r="30" spans="1:3">
      <c r="A30" s="19" t="s">
        <v>168</v>
      </c>
      <c r="B30" s="21">
        <v>0.41</v>
      </c>
      <c r="C30" s="21">
        <v>0</v>
      </c>
    </row>
    <row r="31" spans="1:3">
      <c r="A31" s="19" t="s">
        <v>128</v>
      </c>
      <c r="B31" s="21">
        <v>0.38</v>
      </c>
      <c r="C31" s="21">
        <v>0</v>
      </c>
    </row>
    <row r="32" spans="1:3">
      <c r="A32" s="19" t="s">
        <v>307</v>
      </c>
      <c r="B32" s="21">
        <v>0.34</v>
      </c>
      <c r="C32" s="21">
        <v>0</v>
      </c>
    </row>
    <row r="33" spans="1:3">
      <c r="A33" s="19" t="s">
        <v>287</v>
      </c>
      <c r="B33" s="21">
        <v>0.04</v>
      </c>
      <c r="C33" s="21">
        <v>0</v>
      </c>
    </row>
    <row r="34" spans="1:3">
      <c r="A34" s="19" t="s">
        <v>134</v>
      </c>
      <c r="B34" s="21">
        <v>0.5</v>
      </c>
      <c r="C34" s="21">
        <v>0</v>
      </c>
    </row>
    <row r="35" spans="1:3">
      <c r="A35" s="19" t="s">
        <v>266</v>
      </c>
      <c r="B35" s="21">
        <v>0.43</v>
      </c>
      <c r="C35" s="21">
        <v>0</v>
      </c>
    </row>
    <row r="36" spans="1:3">
      <c r="A36" s="19" t="s">
        <v>323</v>
      </c>
      <c r="B36" s="21">
        <v>0.46</v>
      </c>
      <c r="C36" s="21">
        <v>0</v>
      </c>
    </row>
    <row r="37" spans="1:3">
      <c r="A37" s="19" t="s">
        <v>165</v>
      </c>
      <c r="B37" s="21">
        <v>0.03</v>
      </c>
      <c r="C37" s="21">
        <v>0</v>
      </c>
    </row>
    <row r="38" spans="1:3">
      <c r="A38" s="19" t="s">
        <v>256</v>
      </c>
      <c r="B38" s="21">
        <v>0.14000000000000001</v>
      </c>
      <c r="C38" s="21">
        <v>0</v>
      </c>
    </row>
    <row r="39" spans="1:3">
      <c r="A39" s="19" t="s">
        <v>261</v>
      </c>
      <c r="B39" s="21">
        <v>0.11</v>
      </c>
      <c r="C39" s="21">
        <v>0</v>
      </c>
    </row>
    <row r="40" spans="1:3">
      <c r="A40" s="19" t="s">
        <v>160</v>
      </c>
      <c r="B40" s="21">
        <v>0.02</v>
      </c>
      <c r="C40" s="21">
        <v>0</v>
      </c>
    </row>
    <row r="41" spans="1:3">
      <c r="A41" s="19" t="s">
        <v>163</v>
      </c>
      <c r="B41" s="21">
        <v>0.22</v>
      </c>
      <c r="C41" s="21">
        <v>0</v>
      </c>
    </row>
    <row r="42" spans="1:3">
      <c r="A42" s="19" t="s">
        <v>282</v>
      </c>
      <c r="B42" s="21">
        <v>0.02</v>
      </c>
      <c r="C42" s="21">
        <v>0</v>
      </c>
    </row>
    <row r="43" spans="1:3">
      <c r="A43" s="19" t="s">
        <v>272</v>
      </c>
      <c r="B43" s="21">
        <v>0.48</v>
      </c>
      <c r="C43" s="21">
        <v>0</v>
      </c>
    </row>
    <row r="44" spans="1:3">
      <c r="A44" s="19" t="s">
        <v>274</v>
      </c>
      <c r="B44" s="21">
        <v>0.48</v>
      </c>
      <c r="C44" s="21">
        <v>0</v>
      </c>
    </row>
    <row r="45" spans="1:3">
      <c r="A45" s="19" t="s">
        <v>140</v>
      </c>
      <c r="B45" s="21">
        <v>0.02</v>
      </c>
      <c r="C45" s="21">
        <v>0</v>
      </c>
    </row>
    <row r="46" spans="1:3">
      <c r="A46" s="19" t="s">
        <v>312</v>
      </c>
      <c r="B46" s="21">
        <v>0.02</v>
      </c>
      <c r="C46" s="21">
        <v>0</v>
      </c>
    </row>
    <row r="47" spans="1:3">
      <c r="A47" s="19" t="s">
        <v>314</v>
      </c>
      <c r="B47" s="21">
        <v>0.02</v>
      </c>
      <c r="C47" s="21">
        <v>0</v>
      </c>
    </row>
    <row r="48" spans="1:3">
      <c r="A48" s="19" t="s">
        <v>269</v>
      </c>
      <c r="B48" s="21">
        <v>0.5</v>
      </c>
      <c r="C48" s="21">
        <v>0</v>
      </c>
    </row>
    <row r="49" spans="1:3">
      <c r="A49" s="19" t="s">
        <v>280</v>
      </c>
      <c r="B49" s="21">
        <v>0.08</v>
      </c>
      <c r="C49" s="21">
        <v>0</v>
      </c>
    </row>
    <row r="50" spans="1:3">
      <c r="A50" s="19" t="s">
        <v>264</v>
      </c>
      <c r="B50" s="21">
        <v>0.14000000000000001</v>
      </c>
      <c r="C50" s="21">
        <v>0</v>
      </c>
    </row>
    <row r="51" spans="1:3">
      <c r="A51" s="19" t="s">
        <v>341</v>
      </c>
      <c r="B51" s="21">
        <v>15.01</v>
      </c>
      <c r="C51" s="21">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A0A74-9496-484F-8665-80CF1029D552}">
  <dimension ref="A1:A37"/>
  <sheetViews>
    <sheetView topLeftCell="A22" workbookViewId="0">
      <selection activeCell="B6" sqref="B6"/>
    </sheetView>
  </sheetViews>
  <sheetFormatPr defaultRowHeight="15"/>
  <cols>
    <col min="1" max="1" width="71.28515625" bestFit="1" customWidth="1"/>
  </cols>
  <sheetData>
    <row r="1" spans="1:1">
      <c r="A1" s="2" t="s">
        <v>333</v>
      </c>
    </row>
    <row r="2" spans="1:1">
      <c r="A2" t="s">
        <v>56</v>
      </c>
    </row>
    <row r="3" spans="1:1">
      <c r="A3" t="s">
        <v>60</v>
      </c>
    </row>
    <row r="4" spans="1:1">
      <c r="A4" t="s">
        <v>63</v>
      </c>
    </row>
    <row r="5" spans="1:1">
      <c r="A5" t="s">
        <v>117</v>
      </c>
    </row>
    <row r="6" spans="1:1">
      <c r="A6" t="s">
        <v>120</v>
      </c>
    </row>
    <row r="8" spans="1:1">
      <c r="A8" s="2" t="s">
        <v>334</v>
      </c>
    </row>
    <row r="9" spans="1:1">
      <c r="A9" t="s">
        <v>206</v>
      </c>
    </row>
    <row r="10" spans="1:1">
      <c r="A10" t="s">
        <v>227</v>
      </c>
    </row>
    <row r="11" spans="1:1">
      <c r="A11" t="s">
        <v>190</v>
      </c>
    </row>
    <row r="12" spans="1:1">
      <c r="A12" t="s">
        <v>229</v>
      </c>
    </row>
    <row r="13" spans="1:1">
      <c r="A13" t="s">
        <v>318</v>
      </c>
    </row>
    <row r="15" spans="1:1">
      <c r="A15" s="2" t="s">
        <v>335</v>
      </c>
    </row>
    <row r="16" spans="1:1">
      <c r="A16" t="s">
        <v>316</v>
      </c>
    </row>
    <row r="17" spans="1:1">
      <c r="A17" t="s">
        <v>35</v>
      </c>
    </row>
    <row r="18" spans="1:1">
      <c r="A18" t="s">
        <v>190</v>
      </c>
    </row>
    <row r="19" spans="1:1">
      <c r="A19" t="s">
        <v>85</v>
      </c>
    </row>
    <row r="20" spans="1:1">
      <c r="A20" t="s">
        <v>186</v>
      </c>
    </row>
    <row r="21" spans="1:1">
      <c r="A21" t="s">
        <v>120</v>
      </c>
    </row>
    <row r="22" spans="1:1">
      <c r="A22" t="s">
        <v>71</v>
      </c>
    </row>
    <row r="23" spans="1:1">
      <c r="A23" t="s">
        <v>102</v>
      </c>
    </row>
    <row r="24" spans="1:1">
      <c r="A24" t="s">
        <v>198</v>
      </c>
    </row>
    <row r="25" spans="1:1">
      <c r="A25" t="s">
        <v>56</v>
      </c>
    </row>
    <row r="27" spans="1:1">
      <c r="A27" s="2" t="s">
        <v>337</v>
      </c>
    </row>
    <row r="28" spans="1:1">
      <c r="A28" t="s">
        <v>97</v>
      </c>
    </row>
    <row r="29" spans="1:1">
      <c r="A29" t="s">
        <v>111</v>
      </c>
    </row>
    <row r="30" spans="1:1">
      <c r="A30" t="s">
        <v>14</v>
      </c>
    </row>
    <row r="31" spans="1:1">
      <c r="A31" t="s">
        <v>114</v>
      </c>
    </row>
    <row r="32" spans="1:1">
      <c r="A32" t="s">
        <v>122</v>
      </c>
    </row>
    <row r="33" spans="1:1">
      <c r="A33" t="s">
        <v>44</v>
      </c>
    </row>
    <row r="34" spans="1:1">
      <c r="A34" t="s">
        <v>68</v>
      </c>
    </row>
    <row r="35" spans="1:1">
      <c r="A35" t="s">
        <v>89</v>
      </c>
    </row>
    <row r="36" spans="1:1">
      <c r="A36" t="s">
        <v>30</v>
      </c>
    </row>
    <row r="37" spans="1:1">
      <c r="A37" t="s">
        <v>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6F202-6503-4A56-93FD-D7AD5CD3CEF7}">
  <dimension ref="A1"/>
  <sheetViews>
    <sheetView tabSelected="1" topLeftCell="A34" zoomScale="80" zoomScaleNormal="80" workbookViewId="0">
      <selection activeCell="W42" sqref="W42"/>
    </sheetView>
  </sheetViews>
  <sheetFormatPr defaultColWidth="8.7109375" defaultRowHeight="15"/>
  <cols>
    <col min="1" max="16384" width="8.71093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Excel_jumia_dataset</vt:lpstr>
      <vt:lpstr>Cleaning </vt:lpstr>
      <vt:lpstr>Product Categories</vt:lpstr>
      <vt:lpstr>Product Performance</vt:lpstr>
      <vt:lpstr>Trend Analysis_Relationships</vt:lpstr>
      <vt:lpstr>Product rating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Sylvia Ndili</dc:creator>
  <cp:lastModifiedBy>Sylvia Ndili</cp:lastModifiedBy>
  <dcterms:created xsi:type="dcterms:W3CDTF">2026-06-07T16:25:19Z</dcterms:created>
  <dcterms:modified xsi:type="dcterms:W3CDTF">2026-06-17T19:27:02Z</dcterms:modified>
</cp:coreProperties>
</file>